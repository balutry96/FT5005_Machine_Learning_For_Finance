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9" codeName="{176428E6-CC11-C334-683E-B6102A28F9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balubabu/Library/CloudStorage/OneDrive-Personal/NUS MSc DFT/Courses/Semester 2/FT5005 - Machine Learning for Finance/MidTerm Assignment/"/>
    </mc:Choice>
  </mc:AlternateContent>
  <xr:revisionPtr revIDLastSave="0" documentId="13_ncr:1_{52934A68-A4AD-0E44-BC7D-66D3BE5555B2}" xr6:coauthVersionLast="47" xr6:coauthVersionMax="47" xr10:uidLastSave="{00000000-0000-0000-0000-000000000000}"/>
  <bookViews>
    <workbookView xWindow="0" yWindow="760" windowWidth="34200" windowHeight="21380" activeTab="1" xr2:uid="{00000000-000D-0000-FFFF-FFFF00000000}"/>
  </bookViews>
  <sheets>
    <sheet name="VBA" sheetId="17" r:id="rId1"/>
    <sheet name="CashPlug" sheetId="2" r:id="rId2"/>
    <sheet name="DebtPlug" sheetId="4" r:id="rId3"/>
    <sheet name="Geo1" sheetId="14" r:id="rId4"/>
  </sheets>
  <definedNames>
    <definedName name="solver_adj" localSheetId="1" hidden="1">CashPlug!$B$2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CashPlug!$L$38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1070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8" i="4" l="1"/>
  <c r="B37" i="4"/>
  <c r="B42" i="4" s="1"/>
  <c r="B22" i="4"/>
  <c r="B24" i="4" s="1"/>
  <c r="B27" i="4" s="1"/>
  <c r="B29" i="4" s="1"/>
  <c r="B31" i="4" s="1"/>
  <c r="B19" i="4"/>
  <c r="E83" i="2"/>
  <c r="A83" i="2"/>
  <c r="B73" i="4" l="1"/>
  <c r="B71" i="4"/>
  <c r="A70" i="4"/>
  <c r="C46" i="4"/>
  <c r="D46" i="4" s="1"/>
  <c r="E46" i="4" s="1"/>
  <c r="F46" i="4" s="1"/>
  <c r="G46" i="4" s="1"/>
  <c r="C18" i="4"/>
  <c r="C21" i="4" s="1"/>
  <c r="A78" i="2"/>
  <c r="B72" i="2"/>
  <c r="B70" i="2"/>
  <c r="A69" i="2"/>
  <c r="C45" i="2"/>
  <c r="D45" i="2" s="1"/>
  <c r="E45" i="2" s="1"/>
  <c r="F45" i="2" s="1"/>
  <c r="G45" i="2" s="1"/>
  <c r="C44" i="2"/>
  <c r="C24" i="2" s="1"/>
  <c r="C56" i="2" s="1"/>
  <c r="C17" i="2"/>
  <c r="C20" i="2" s="1"/>
  <c r="B52" i="14"/>
  <c r="B51" i="14"/>
  <c r="B106" i="14"/>
  <c r="B108" i="14"/>
  <c r="A105" i="14"/>
  <c r="C19" i="14"/>
  <c r="D19" i="14" s="1"/>
  <c r="D20" i="14" s="1"/>
  <c r="C31" i="14"/>
  <c r="D31" i="14" s="1"/>
  <c r="E31" i="14" s="1"/>
  <c r="F31" i="14" s="1"/>
  <c r="G31" i="14" s="1"/>
  <c r="C29" i="14"/>
  <c r="C30" i="14" s="1"/>
  <c r="C21" i="14"/>
  <c r="C52" i="14" s="1"/>
  <c r="C79" i="14"/>
  <c r="D79" i="14" s="1"/>
  <c r="E79" i="14" s="1"/>
  <c r="F79" i="14" s="1"/>
  <c r="G79" i="14" s="1"/>
  <c r="C20" i="14"/>
  <c r="D29" i="14"/>
  <c r="D36" i="14" s="1"/>
  <c r="H75" i="14"/>
  <c r="H81" i="14"/>
  <c r="H56" i="4"/>
  <c r="H54" i="2"/>
  <c r="H67" i="14"/>
  <c r="H73" i="14"/>
  <c r="C70" i="2"/>
  <c r="H28" i="2"/>
  <c r="H35" i="4"/>
  <c r="H56" i="2"/>
  <c r="H35" i="14"/>
  <c r="H22" i="14"/>
  <c r="H18" i="2"/>
  <c r="H57" i="4"/>
  <c r="C108" i="14"/>
  <c r="H22" i="2"/>
  <c r="H68" i="4"/>
  <c r="H89" i="14"/>
  <c r="H68" i="14"/>
  <c r="H25" i="2"/>
  <c r="H24" i="14"/>
  <c r="H91" i="14"/>
  <c r="H43" i="2"/>
  <c r="H24" i="4"/>
  <c r="H51" i="14"/>
  <c r="H55" i="4"/>
  <c r="H45" i="2"/>
  <c r="H33" i="14"/>
  <c r="C107" i="14"/>
  <c r="C72" i="4"/>
  <c r="H26" i="4"/>
  <c r="H24" i="2"/>
  <c r="H21" i="2"/>
  <c r="H56" i="14"/>
  <c r="H19" i="2"/>
  <c r="C112" i="14"/>
  <c r="H42" i="4"/>
  <c r="H26" i="2"/>
  <c r="H20" i="14"/>
  <c r="H74" i="14"/>
  <c r="H47" i="4"/>
  <c r="H88" i="14"/>
  <c r="H52" i="4"/>
  <c r="H50" i="14"/>
  <c r="C76" i="2"/>
  <c r="H69" i="14"/>
  <c r="H61" i="14"/>
  <c r="H23" i="2"/>
  <c r="H39" i="4"/>
  <c r="H53" i="2"/>
  <c r="H30" i="4"/>
  <c r="H34" i="14"/>
  <c r="H33" i="2"/>
  <c r="H20" i="2"/>
  <c r="H70" i="14"/>
  <c r="C71" i="4"/>
  <c r="H47" i="2"/>
  <c r="H58" i="14"/>
  <c r="H17" i="2"/>
  <c r="H58" i="2"/>
  <c r="H90" i="14"/>
  <c r="H48" i="4"/>
  <c r="H64" i="14"/>
  <c r="H94" i="14"/>
  <c r="H55" i="14"/>
  <c r="H30" i="14"/>
  <c r="H87" i="14"/>
  <c r="H27" i="4"/>
  <c r="H66" i="4"/>
  <c r="C77" i="4"/>
  <c r="H54" i="4"/>
  <c r="H57" i="2"/>
  <c r="C110" i="14"/>
  <c r="H41" i="4"/>
  <c r="H40" i="2"/>
  <c r="H46" i="2"/>
  <c r="H80" i="14"/>
  <c r="H52" i="2"/>
  <c r="H31" i="4"/>
  <c r="H59" i="14"/>
  <c r="H92" i="14"/>
  <c r="H46" i="4"/>
  <c r="H28" i="4"/>
  <c r="H77" i="14"/>
  <c r="H21" i="14"/>
  <c r="H60" i="14"/>
  <c r="H19" i="4"/>
  <c r="C71" i="2"/>
  <c r="H29" i="2"/>
  <c r="H38" i="2"/>
  <c r="H37" i="4"/>
  <c r="H29" i="14"/>
  <c r="H54" i="14"/>
  <c r="H25" i="14"/>
  <c r="H67" i="2"/>
  <c r="H40" i="4"/>
  <c r="H19" i="14"/>
  <c r="H18" i="4"/>
  <c r="H101" i="14"/>
  <c r="C106" i="14"/>
  <c r="H79" i="4"/>
  <c r="H34" i="2"/>
  <c r="H36" i="2"/>
  <c r="H59" i="4"/>
  <c r="H21" i="4"/>
  <c r="H53" i="14"/>
  <c r="H23" i="4"/>
  <c r="H36" i="4"/>
  <c r="H83" i="14"/>
  <c r="H39" i="2"/>
  <c r="H41" i="2"/>
  <c r="H103" i="14"/>
  <c r="H78" i="14"/>
  <c r="H44" i="4"/>
  <c r="C105" i="14"/>
  <c r="H67" i="4"/>
  <c r="C73" i="4"/>
  <c r="H25" i="4"/>
  <c r="H45" i="4"/>
  <c r="C70" i="4"/>
  <c r="H20" i="4"/>
  <c r="H29" i="4"/>
  <c r="H72" i="14"/>
  <c r="H31" i="14"/>
  <c r="H23" i="14"/>
  <c r="H52" i="14"/>
  <c r="H63" i="14"/>
  <c r="H79" i="14"/>
  <c r="C72" i="2"/>
  <c r="H34" i="4"/>
  <c r="H58" i="4"/>
  <c r="H62" i="14"/>
  <c r="H65" i="2"/>
  <c r="H35" i="2"/>
  <c r="H55" i="2"/>
  <c r="H36" i="14"/>
  <c r="H44" i="2"/>
  <c r="C74" i="2"/>
  <c r="C69" i="2"/>
  <c r="H27" i="2"/>
  <c r="H93" i="14"/>
  <c r="C75" i="4"/>
  <c r="H51" i="2"/>
  <c r="H53" i="4"/>
  <c r="H57" i="14"/>
  <c r="H22" i="4"/>
  <c r="H30" i="2"/>
  <c r="H102" i="14"/>
  <c r="H66" i="2"/>
  <c r="C36" i="14" l="1"/>
  <c r="C50" i="14"/>
  <c r="C54" i="14" s="1"/>
  <c r="C51" i="14"/>
  <c r="C77" i="14" s="1"/>
  <c r="E29" i="14"/>
  <c r="F29" i="14" s="1"/>
  <c r="F36" i="14" s="1"/>
  <c r="D30" i="14"/>
  <c r="D51" i="14" s="1"/>
  <c r="D21" i="14"/>
  <c r="D44" i="2"/>
  <c r="D50" i="14"/>
  <c r="D68" i="14" s="1"/>
  <c r="C40" i="2"/>
  <c r="C53" i="14"/>
  <c r="C55" i="14" s="1"/>
  <c r="C68" i="14"/>
  <c r="C69" i="14"/>
  <c r="D25" i="14"/>
  <c r="D74" i="14" s="1"/>
  <c r="E19" i="14"/>
  <c r="C25" i="14"/>
  <c r="C74" i="14" s="1"/>
  <c r="D17" i="2"/>
  <c r="C19" i="2"/>
  <c r="C34" i="2"/>
  <c r="C41" i="4"/>
  <c r="D18" i="4"/>
  <c r="C20" i="4"/>
  <c r="C35" i="4"/>
  <c r="C18" i="2" l="1"/>
  <c r="C35" i="2" s="1"/>
  <c r="G29" i="14"/>
  <c r="C90" i="14"/>
  <c r="C70" i="14"/>
  <c r="C89" i="14" s="1"/>
  <c r="E36" i="14"/>
  <c r="E30" i="14"/>
  <c r="F30" i="14"/>
  <c r="D54" i="14"/>
  <c r="E21" i="14"/>
  <c r="D52" i="14"/>
  <c r="D77" i="14" s="1"/>
  <c r="E44" i="2"/>
  <c r="E24" i="2" s="1"/>
  <c r="E56" i="2" s="1"/>
  <c r="D24" i="2"/>
  <c r="D56" i="2" s="1"/>
  <c r="E20" i="14"/>
  <c r="E51" i="14" s="1"/>
  <c r="E25" i="14"/>
  <c r="E50" i="14"/>
  <c r="F19" i="14"/>
  <c r="G30" i="14"/>
  <c r="G36" i="14"/>
  <c r="D40" i="2"/>
  <c r="D34" i="2"/>
  <c r="D19" i="2"/>
  <c r="D20" i="2"/>
  <c r="E17" i="2"/>
  <c r="E34" i="2" s="1"/>
  <c r="C21" i="2"/>
  <c r="C22" i="4"/>
  <c r="C19" i="4"/>
  <c r="D20" i="4"/>
  <c r="D21" i="4"/>
  <c r="E18" i="4"/>
  <c r="D41" i="4"/>
  <c r="D35" i="4"/>
  <c r="C43" i="2" l="1"/>
  <c r="C54" i="2" s="1"/>
  <c r="C67" i="14"/>
  <c r="C75" i="14"/>
  <c r="E74" i="14"/>
  <c r="D90" i="14"/>
  <c r="D70" i="14"/>
  <c r="F21" i="14"/>
  <c r="E52" i="14"/>
  <c r="E77" i="14" s="1"/>
  <c r="E90" i="14" s="1"/>
  <c r="D69" i="14"/>
  <c r="F44" i="2"/>
  <c r="F24" i="2" s="1"/>
  <c r="F56" i="2" s="1"/>
  <c r="D53" i="14"/>
  <c r="D55" i="14" s="1"/>
  <c r="E40" i="2"/>
  <c r="F17" i="2"/>
  <c r="F19" i="2" s="1"/>
  <c r="E19" i="2"/>
  <c r="E18" i="2" s="1"/>
  <c r="F20" i="14"/>
  <c r="F51" i="14" s="1"/>
  <c r="F50" i="14"/>
  <c r="G19" i="14"/>
  <c r="F25" i="14"/>
  <c r="F74" i="14" s="1"/>
  <c r="E54" i="14"/>
  <c r="E68" i="14"/>
  <c r="D21" i="2"/>
  <c r="C59" i="14"/>
  <c r="C93" i="14" s="1"/>
  <c r="D18" i="2"/>
  <c r="D35" i="2" s="1"/>
  <c r="E20" i="2"/>
  <c r="D22" i="4"/>
  <c r="D19" i="4"/>
  <c r="E41" i="4"/>
  <c r="F18" i="4"/>
  <c r="E35" i="4"/>
  <c r="E20" i="4"/>
  <c r="E21" i="4"/>
  <c r="C36" i="4"/>
  <c r="C44" i="4"/>
  <c r="E53" i="14" l="1"/>
  <c r="E55" i="14" s="1"/>
  <c r="E70" i="14"/>
  <c r="E75" i="14" s="1"/>
  <c r="G17" i="2"/>
  <c r="G19" i="2" s="1"/>
  <c r="F20" i="2"/>
  <c r="F21" i="2" s="1"/>
  <c r="F52" i="14"/>
  <c r="F53" i="14" s="1"/>
  <c r="G21" i="14"/>
  <c r="G52" i="14" s="1"/>
  <c r="D89" i="14"/>
  <c r="D75" i="14"/>
  <c r="D67" i="14"/>
  <c r="D59" i="14" s="1"/>
  <c r="D93" i="14" s="1"/>
  <c r="G44" i="2"/>
  <c r="G24" i="2" s="1"/>
  <c r="G56" i="2" s="1"/>
  <c r="E69" i="14"/>
  <c r="F34" i="2"/>
  <c r="D43" i="2"/>
  <c r="D54" i="2" s="1"/>
  <c r="F40" i="2"/>
  <c r="E21" i="2"/>
  <c r="F54" i="14"/>
  <c r="F68" i="14"/>
  <c r="G25" i="14"/>
  <c r="G74" i="14" s="1"/>
  <c r="G20" i="14"/>
  <c r="G51" i="14" s="1"/>
  <c r="G50" i="14"/>
  <c r="F18" i="2"/>
  <c r="E35" i="2"/>
  <c r="E43" i="2"/>
  <c r="E22" i="4"/>
  <c r="E19" i="4"/>
  <c r="F41" i="4"/>
  <c r="F35" i="4"/>
  <c r="F20" i="4"/>
  <c r="G18" i="4"/>
  <c r="F21" i="4"/>
  <c r="C55" i="4"/>
  <c r="D36" i="4"/>
  <c r="D44" i="4"/>
  <c r="F55" i="14" l="1"/>
  <c r="E89" i="14"/>
  <c r="E67" i="14"/>
  <c r="F77" i="14"/>
  <c r="F69" i="14"/>
  <c r="G34" i="2"/>
  <c r="G40" i="2"/>
  <c r="G20" i="2"/>
  <c r="G21" i="2" s="1"/>
  <c r="E54" i="2"/>
  <c r="G69" i="14"/>
  <c r="G77" i="14"/>
  <c r="E59" i="14"/>
  <c r="E93" i="14" s="1"/>
  <c r="G68" i="14"/>
  <c r="G53" i="14"/>
  <c r="G54" i="14"/>
  <c r="F70" i="14"/>
  <c r="F90" i="14"/>
  <c r="F35" i="2"/>
  <c r="F43" i="2"/>
  <c r="F54" i="2" s="1"/>
  <c r="G18" i="2"/>
  <c r="F19" i="4"/>
  <c r="F22" i="4"/>
  <c r="D55" i="4"/>
  <c r="G20" i="4"/>
  <c r="G21" i="4"/>
  <c r="G41" i="4"/>
  <c r="G35" i="4"/>
  <c r="E36" i="4"/>
  <c r="E44" i="4"/>
  <c r="G55" i="14" l="1"/>
  <c r="F67" i="14"/>
  <c r="F89" i="14"/>
  <c r="F75" i="14"/>
  <c r="G70" i="14"/>
  <c r="G90" i="14"/>
  <c r="G43" i="2"/>
  <c r="G54" i="2" s="1"/>
  <c r="G35" i="2"/>
  <c r="F44" i="4"/>
  <c r="F36" i="4"/>
  <c r="E55" i="4"/>
  <c r="G19" i="4"/>
  <c r="G22" i="4"/>
  <c r="G67" i="14" l="1"/>
  <c r="G89" i="14"/>
  <c r="G75" i="14"/>
  <c r="G59" i="14"/>
  <c r="G93" i="14" s="1"/>
  <c r="F59" i="14"/>
  <c r="F93" i="14" s="1"/>
  <c r="F55" i="4"/>
  <c r="G36" i="4"/>
  <c r="G44" i="4"/>
  <c r="G55" i="4" l="1"/>
  <c r="G92" i="14"/>
  <c r="G58" i="14"/>
  <c r="E30" i="2"/>
  <c r="E29" i="2"/>
  <c r="D58" i="4"/>
  <c r="D26" i="4"/>
  <c r="B77" i="4"/>
  <c r="B75" i="4"/>
  <c r="B72" i="4"/>
  <c r="B70" i="4"/>
  <c r="C68" i="4"/>
  <c r="C66" i="4"/>
  <c r="C59" i="4"/>
  <c r="C52" i="4"/>
  <c r="C52" i="2"/>
  <c r="E31" i="4"/>
  <c r="E30" i="4"/>
  <c r="E87" i="14"/>
  <c r="E94" i="14"/>
  <c r="E101" i="14"/>
  <c r="E103" i="14"/>
  <c r="D35" i="14"/>
  <c r="G68" i="4"/>
  <c r="G67" i="4"/>
  <c r="G66" i="4"/>
  <c r="G59" i="4"/>
  <c r="G52" i="4"/>
  <c r="D56" i="4"/>
  <c r="F56" i="4"/>
  <c r="G53" i="4"/>
  <c r="E57" i="4"/>
  <c r="E25" i="4"/>
  <c r="E92" i="14"/>
  <c r="E58" i="14"/>
  <c r="E23" i="2"/>
  <c r="E26" i="2"/>
  <c r="E27" i="2"/>
  <c r="E28" i="2"/>
  <c r="E51" i="2"/>
  <c r="E58" i="2"/>
  <c r="E65" i="2"/>
  <c r="E67" i="2"/>
  <c r="G79" i="4"/>
  <c r="G57" i="2"/>
  <c r="G25" i="2"/>
  <c r="F87" i="14"/>
  <c r="F94" i="14"/>
  <c r="F101" i="14"/>
  <c r="F103" i="14"/>
  <c r="G30" i="2"/>
  <c r="G29" i="2"/>
  <c r="E91" i="14"/>
  <c r="E72" i="14"/>
  <c r="G91" i="14"/>
  <c r="G72" i="14"/>
  <c r="G22" i="14"/>
  <c r="C92" i="14"/>
  <c r="C58" i="14"/>
  <c r="F35" i="14"/>
  <c r="E33" i="14"/>
  <c r="D91" i="14"/>
  <c r="D72" i="14"/>
  <c r="F30" i="2"/>
  <c r="F29" i="2"/>
  <c r="F92" i="14"/>
  <c r="F58" i="14"/>
  <c r="E54" i="4"/>
  <c r="E37" i="4"/>
  <c r="E42" i="4"/>
  <c r="C55" i="2"/>
  <c r="F41" i="2"/>
  <c r="F47" i="2"/>
  <c r="F33" i="2"/>
  <c r="F36" i="2"/>
  <c r="F53" i="2"/>
  <c r="D92" i="14"/>
  <c r="D58" i="14"/>
  <c r="E64" i="14"/>
  <c r="E57" i="14"/>
  <c r="E60" i="14"/>
  <c r="E61" i="14"/>
  <c r="E62" i="14"/>
  <c r="E63" i="14"/>
  <c r="F52" i="2"/>
  <c r="E58" i="4"/>
  <c r="E26" i="4"/>
  <c r="E35" i="14"/>
  <c r="D33" i="14"/>
  <c r="E24" i="4"/>
  <c r="E27" i="4"/>
  <c r="E28" i="4"/>
  <c r="E29" i="4"/>
  <c r="E52" i="4"/>
  <c r="E59" i="4"/>
  <c r="E66" i="4"/>
  <c r="E68" i="4"/>
  <c r="F72" i="14"/>
  <c r="F91" i="14"/>
  <c r="D73" i="14"/>
  <c r="D57" i="4"/>
  <c r="D25" i="4"/>
  <c r="F64" i="14"/>
  <c r="F57" i="14"/>
  <c r="F60" i="14"/>
  <c r="F61" i="14"/>
  <c r="F62" i="14"/>
  <c r="F63" i="14"/>
  <c r="D31" i="4"/>
  <c r="D30" i="4"/>
  <c r="D53" i="4"/>
  <c r="G52" i="2"/>
  <c r="F31" i="4"/>
  <c r="F30" i="4"/>
  <c r="G63" i="14"/>
  <c r="G64" i="14"/>
  <c r="D22" i="14"/>
  <c r="E24" i="14"/>
  <c r="E56" i="14"/>
  <c r="E88" i="14"/>
  <c r="D79" i="4"/>
  <c r="G88" i="14"/>
  <c r="H80" i="2"/>
  <c r="E2" i="2"/>
  <c r="D53" i="2"/>
  <c r="D36" i="2"/>
  <c r="D41" i="2"/>
  <c r="F55" i="2"/>
  <c r="E23" i="4"/>
  <c r="E53" i="4"/>
  <c r="C42" i="4"/>
  <c r="C37" i="4"/>
  <c r="C54" i="4"/>
  <c r="D57" i="2"/>
  <c r="D25" i="2"/>
  <c r="F79" i="4"/>
  <c r="F53" i="4"/>
  <c r="C58" i="4"/>
  <c r="C48" i="4"/>
  <c r="C34" i="4"/>
  <c r="C26" i="4"/>
  <c r="D88" i="14"/>
  <c r="G56" i="4"/>
  <c r="G53" i="2"/>
  <c r="F46" i="2"/>
  <c r="G46" i="2"/>
  <c r="G47" i="2"/>
  <c r="G33" i="2"/>
  <c r="G36" i="2"/>
  <c r="G41" i="2"/>
  <c r="F38" i="2"/>
  <c r="F22" i="2"/>
  <c r="F23" i="2"/>
  <c r="F26" i="2"/>
  <c r="F27" i="2"/>
  <c r="F28" i="2"/>
  <c r="F51" i="2"/>
  <c r="F58" i="2"/>
  <c r="F65" i="2"/>
  <c r="F67" i="2"/>
  <c r="C53" i="4"/>
  <c r="D103" i="14"/>
  <c r="D87" i="14"/>
  <c r="D94" i="14"/>
  <c r="D101" i="14"/>
  <c r="G55" i="2"/>
  <c r="E48" i="4"/>
  <c r="E34" i="4"/>
  <c r="F26" i="4"/>
  <c r="F58" i="4"/>
  <c r="G23" i="14"/>
  <c r="G73" i="14"/>
  <c r="B112" i="14"/>
  <c r="C87" i="14"/>
  <c r="C94" i="14"/>
  <c r="C101" i="14"/>
  <c r="C103" i="14"/>
  <c r="B105" i="14"/>
  <c r="B107" i="14"/>
  <c r="B110" i="14"/>
  <c r="G103" i="14"/>
  <c r="F22" i="14"/>
  <c r="G24" i="14"/>
  <c r="G56" i="14"/>
  <c r="G57" i="14"/>
  <c r="G60" i="14"/>
  <c r="G61" i="14"/>
  <c r="G62" i="14"/>
  <c r="G87" i="14"/>
  <c r="G94" i="14"/>
  <c r="G101" i="14"/>
  <c r="G102" i="14"/>
  <c r="C79" i="4"/>
  <c r="D52" i="2"/>
  <c r="E57" i="2"/>
  <c r="D47" i="2"/>
  <c r="D33" i="2"/>
  <c r="E25" i="2"/>
  <c r="D54" i="4"/>
  <c r="D45" i="4"/>
  <c r="D48" i="4"/>
  <c r="D34" i="4"/>
  <c r="D37" i="4"/>
  <c r="D42" i="4"/>
  <c r="C73" i="14"/>
  <c r="C41" i="2"/>
  <c r="C36" i="2"/>
  <c r="C53" i="2"/>
  <c r="F57" i="2"/>
  <c r="F25" i="2"/>
  <c r="D64" i="14"/>
  <c r="D24" i="14"/>
  <c r="D56" i="14"/>
  <c r="D57" i="14"/>
  <c r="D60" i="14"/>
  <c r="D61" i="14"/>
  <c r="D62" i="14"/>
  <c r="D63" i="14"/>
  <c r="G54" i="4"/>
  <c r="G47" i="4"/>
  <c r="G45" i="4"/>
  <c r="G48" i="4"/>
  <c r="G34" i="4"/>
  <c r="G37" i="4"/>
  <c r="G42" i="4"/>
  <c r="C88" i="14"/>
  <c r="G58" i="4"/>
  <c r="G26" i="4"/>
  <c r="C45" i="4"/>
  <c r="C25" i="4"/>
  <c r="C57" i="4"/>
  <c r="D29" i="2"/>
  <c r="D30" i="2"/>
  <c r="G25" i="4"/>
  <c r="G57" i="4"/>
  <c r="G34" i="14"/>
  <c r="G33" i="14"/>
  <c r="C91" i="14"/>
  <c r="C72" i="14"/>
  <c r="F81" i="14"/>
  <c r="F78" i="14"/>
  <c r="F83" i="14"/>
  <c r="G31" i="4"/>
  <c r="G40" i="4"/>
  <c r="G39" i="4"/>
  <c r="G23" i="4"/>
  <c r="G24" i="4"/>
  <c r="G27" i="4"/>
  <c r="G28" i="4"/>
  <c r="G29" i="4"/>
  <c r="G30" i="4"/>
  <c r="F57" i="4"/>
  <c r="F25" i="4"/>
  <c r="F23" i="14"/>
  <c r="F73" i="14"/>
  <c r="D2" i="2"/>
  <c r="B92" i="2"/>
  <c r="G80" i="2"/>
  <c r="G2" i="2"/>
  <c r="C51" i="2"/>
  <c r="C58" i="2"/>
  <c r="C65" i="2"/>
  <c r="C67" i="2"/>
  <c r="B69" i="2"/>
  <c r="B71" i="2"/>
  <c r="B74" i="2"/>
  <c r="B76" i="2"/>
  <c r="C80" i="2"/>
  <c r="G81" i="14"/>
  <c r="F80" i="14"/>
  <c r="G80" i="14"/>
  <c r="G78" i="14"/>
  <c r="G83" i="14"/>
  <c r="E22" i="2"/>
  <c r="E52" i="2"/>
  <c r="E81" i="14"/>
  <c r="E80" i="14"/>
  <c r="E78" i="14"/>
  <c r="E83" i="14"/>
  <c r="E45" i="4"/>
  <c r="E79" i="4"/>
  <c r="D55" i="2"/>
  <c r="E73" i="14"/>
  <c r="C56" i="4"/>
  <c r="E39" i="4"/>
  <c r="E56" i="4"/>
  <c r="E38" i="2"/>
  <c r="E55" i="2"/>
  <c r="D81" i="14"/>
  <c r="D80" i="14"/>
  <c r="D78" i="14"/>
  <c r="D83" i="14"/>
  <c r="D23" i="14"/>
  <c r="E23" i="14"/>
  <c r="E22" i="14"/>
  <c r="F24" i="14"/>
  <c r="F56" i="14"/>
  <c r="F88" i="14"/>
  <c r="E41" i="2"/>
  <c r="D46" i="2"/>
  <c r="E46" i="2"/>
  <c r="E47" i="2"/>
  <c r="E33" i="2"/>
  <c r="E36" i="2"/>
  <c r="E53" i="2"/>
  <c r="D38" i="2"/>
  <c r="D22" i="2"/>
  <c r="D23" i="2"/>
  <c r="D26" i="2"/>
  <c r="D27" i="2"/>
  <c r="D28" i="2"/>
  <c r="D51" i="2"/>
  <c r="D58" i="2"/>
  <c r="D65" i="2"/>
  <c r="D67" i="2"/>
  <c r="C57" i="2"/>
  <c r="C23" i="2"/>
  <c r="C26" i="2"/>
  <c r="C27" i="2"/>
  <c r="C28" i="2"/>
  <c r="C29" i="2"/>
  <c r="C30" i="2"/>
  <c r="C46" i="2"/>
  <c r="C47" i="2"/>
  <c r="C33" i="2"/>
  <c r="C25" i="2"/>
  <c r="E40" i="4"/>
  <c r="F40" i="4"/>
  <c r="F39" i="4"/>
  <c r="F23" i="4"/>
  <c r="F24" i="4"/>
  <c r="F27" i="4"/>
  <c r="F28" i="4"/>
  <c r="F29" i="4"/>
  <c r="F52" i="4"/>
  <c r="F59" i="4"/>
  <c r="F66" i="4"/>
  <c r="F68" i="4"/>
  <c r="C83" i="14"/>
  <c r="C23" i="14"/>
  <c r="C22" i="14"/>
  <c r="C24" i="14"/>
  <c r="C56" i="14"/>
  <c r="C57" i="14"/>
  <c r="C60" i="14"/>
  <c r="C61" i="14"/>
  <c r="C62" i="14"/>
  <c r="C63" i="14"/>
  <c r="C64" i="14"/>
  <c r="C80" i="14"/>
  <c r="C78" i="14"/>
  <c r="C81" i="14"/>
  <c r="D40" i="4"/>
  <c r="D39" i="4"/>
  <c r="D23" i="4"/>
  <c r="D24" i="4"/>
  <c r="D27" i="4"/>
  <c r="D28" i="4"/>
  <c r="D29" i="4"/>
  <c r="D52" i="4"/>
  <c r="D59" i="4"/>
  <c r="D66" i="4"/>
  <c r="D68" i="4"/>
  <c r="F42" i="4"/>
  <c r="C40" i="4"/>
  <c r="C39" i="4"/>
  <c r="C23" i="4"/>
  <c r="C24" i="4"/>
  <c r="C27" i="4"/>
  <c r="C28" i="4"/>
  <c r="C29" i="4"/>
  <c r="C30" i="4"/>
  <c r="C31" i="4"/>
  <c r="C47" i="4"/>
  <c r="D47" i="4"/>
  <c r="E47" i="4"/>
  <c r="F47" i="4"/>
  <c r="F45" i="4"/>
  <c r="F48" i="4"/>
  <c r="F34" i="4"/>
  <c r="F37" i="4"/>
  <c r="F54" i="4"/>
  <c r="C33" i="14"/>
  <c r="C35" i="14"/>
  <c r="C34" i="14"/>
  <c r="D34" i="14"/>
  <c r="E34" i="14"/>
  <c r="F34" i="14"/>
  <c r="F33" i="14"/>
  <c r="G35" i="14"/>
  <c r="C38" i="2"/>
  <c r="C22" i="2"/>
  <c r="C39" i="2"/>
  <c r="D39" i="2"/>
  <c r="E39" i="2"/>
  <c r="F39" i="2"/>
  <c r="G39" i="2"/>
  <c r="G38" i="2"/>
  <c r="G22" i="2"/>
  <c r="G23" i="2"/>
  <c r="G26" i="2"/>
  <c r="G27" i="2"/>
  <c r="G28" i="2"/>
  <c r="G51" i="2"/>
  <c r="G58" i="2"/>
  <c r="G65" i="2"/>
  <c r="G66" i="2"/>
  <c r="G67" i="2"/>
</calcChain>
</file>

<file path=xl/sharedStrings.xml><?xml version="1.0" encoding="utf-8"?>
<sst xmlns="http://schemas.openxmlformats.org/spreadsheetml/2006/main" count="239" uniqueCount="93">
  <si>
    <t>Sales growth</t>
  </si>
  <si>
    <t>Depreciation rate</t>
  </si>
  <si>
    <t>Interest rate on debt</t>
  </si>
  <si>
    <t>Interest paid on cash and marketable securities</t>
  </si>
  <si>
    <t>Tax rate</t>
  </si>
  <si>
    <t>Dividend payout ratio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</si>
  <si>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</si>
  <si>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</si>
  <si>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</si>
  <si>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</si>
  <si>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</si>
  <si>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</si>
  <si>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</si>
  <si>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</si>
  <si>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</si>
  <si>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</si>
  <si>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</si>
  <si>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</si>
  <si>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</si>
  <si>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</si>
  <si>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</si>
  <si>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</si>
  <si>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</si>
  <si>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</si>
  <si>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</si>
  <si>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</si>
  <si>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</si>
  <si>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</si>
  <si>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</si>
  <si>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Gross margin</t>
  </si>
  <si>
    <t>EBIT</t>
  </si>
  <si>
    <t>EBT</t>
  </si>
  <si>
    <t>Net Income</t>
  </si>
  <si>
    <t>Inventory</t>
  </si>
  <si>
    <t>Receivables</t>
  </si>
  <si>
    <t xml:space="preserve">     Cummulative Depreciation</t>
  </si>
  <si>
    <t>Cash as Plug</t>
  </si>
  <si>
    <t>Debt as Plug</t>
  </si>
  <si>
    <t>Cash buffer</t>
  </si>
  <si>
    <t>Debt Ratio</t>
  </si>
  <si>
    <t>Current ratio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</si>
  <si>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</si>
  <si>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</si>
  <si>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</si>
  <si>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</si>
  <si>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</si>
  <si>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</si>
  <si>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</si>
  <si>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</si>
  <si>
    <t>Weighted average cost of capital</t>
  </si>
  <si>
    <t>Long-term free cash flow growth rate</t>
  </si>
  <si>
    <t>&lt;-- real growth  2% + inflation 3%?</t>
  </si>
  <si>
    <t>FCF</t>
  </si>
  <si>
    <t>Terminal value</t>
  </si>
  <si>
    <t>Total</t>
  </si>
  <si>
    <t>Add in initial (year 0) cash and mkt. securities</t>
  </si>
  <si>
    <t>Asset value in year 0</t>
  </si>
  <si>
    <t>Subtract out value of firm's debt today</t>
  </si>
  <si>
    <t>Equity value</t>
  </si>
  <si>
    <t>Valuing the firm using mid-year discounting</t>
  </si>
  <si>
    <t>Total number of shares</t>
  </si>
  <si>
    <t>Share price</t>
  </si>
  <si>
    <t>EBITDA</t>
  </si>
  <si>
    <t>Receivables Turnover</t>
  </si>
  <si>
    <t>Fixed Asset Turnover</t>
  </si>
  <si>
    <t>Staff and admin cost</t>
  </si>
  <si>
    <t>SAC/Sales</t>
  </si>
  <si>
    <t>Gross profit</t>
  </si>
  <si>
    <t>Subtract out value of firm's pref shares today</t>
  </si>
  <si>
    <t>COGS Variable</t>
  </si>
  <si>
    <t>COGS Fixed</t>
  </si>
  <si>
    <t>COGS Variable rate</t>
  </si>
  <si>
    <t>Singapore</t>
  </si>
  <si>
    <t>Malaysia</t>
  </si>
  <si>
    <t>Net Fixed Asset</t>
  </si>
  <si>
    <t>Gross Fixed Asset</t>
  </si>
  <si>
    <t>Cumu Depreciation</t>
  </si>
  <si>
    <t>Exchange Rate</t>
  </si>
  <si>
    <t>Gross Fixed Asset SGD</t>
  </si>
  <si>
    <t>Cumu Depreciation SGD</t>
  </si>
  <si>
    <t>Net Fixed Asset SGD</t>
  </si>
  <si>
    <t>Sales Growth Rate</t>
  </si>
  <si>
    <t>Depreciation SGD</t>
  </si>
  <si>
    <t>Geographical Breakdown</t>
  </si>
  <si>
    <t>Inventory Turnover (COGS)</t>
  </si>
  <si>
    <t>Current Liabilities Turnover (COGS)</t>
  </si>
  <si>
    <t xml:space="preserve"> </t>
  </si>
  <si>
    <t>Gross profit margin</t>
  </si>
  <si>
    <t>St Price</t>
  </si>
  <si>
    <t>Cash</t>
  </si>
  <si>
    <r>
      <t xml:space="preserve">WACC </t>
    </r>
    <r>
      <rPr>
        <b/>
        <sz val="10"/>
        <rFont val="Symbol"/>
        <family val="1"/>
        <charset val="2"/>
      </rPr>
      <t>¯</t>
    </r>
  </si>
  <si>
    <t>=IF(B61&gt;B62,B76,"")</t>
  </si>
  <si>
    <t>Growth rate of FCF --&gt;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</si>
</sst>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0_);\(0\)"/>
    <numFmt numFmtId="167" formatCode="0.0%"/>
    <numFmt numFmtId="168" formatCode="0.000"/>
  </numFmts>
  <fonts count="6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Symbol"/>
      <family val="1"/>
      <charset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Continuous"/>
    </xf>
    <xf numFmtId="9" fontId="0" fillId="0" borderId="0" xfId="0" applyNumberFormat="1"/>
    <xf numFmtId="10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166" fontId="2" fillId="0" borderId="0" xfId="0" applyNumberFormat="1" applyFont="1"/>
    <xf numFmtId="166" fontId="2" fillId="0" borderId="0" xfId="0" applyNumberFormat="1" applyFont="1" applyAlignment="1">
      <alignment horizontal="center"/>
    </xf>
    <xf numFmtId="166" fontId="0" fillId="0" borderId="0" xfId="0" applyNumberFormat="1"/>
    <xf numFmtId="0" fontId="1" fillId="0" borderId="0" xfId="0" applyFont="1"/>
    <xf numFmtId="9" fontId="3" fillId="0" borderId="0" xfId="0" applyNumberFormat="1" applyFont="1"/>
    <xf numFmtId="165" fontId="5" fillId="0" borderId="0" xfId="1" applyNumberFormat="1" applyFont="1"/>
    <xf numFmtId="43" fontId="0" fillId="0" borderId="0" xfId="0" applyNumberFormat="1"/>
    <xf numFmtId="0" fontId="0" fillId="0" borderId="1" xfId="0" applyBorder="1"/>
    <xf numFmtId="0" fontId="0" fillId="0" borderId="2" xfId="0" applyBorder="1"/>
    <xf numFmtId="0" fontId="2" fillId="0" borderId="2" xfId="0" applyFont="1" applyBorder="1"/>
    <xf numFmtId="0" fontId="2" fillId="0" borderId="3" xfId="0" applyFont="1" applyBorder="1"/>
    <xf numFmtId="0" fontId="0" fillId="0" borderId="4" xfId="0" applyBorder="1"/>
    <xf numFmtId="9" fontId="0" fillId="0" borderId="5" xfId="0" applyNumberFormat="1" applyBorder="1"/>
    <xf numFmtId="0" fontId="0" fillId="0" borderId="5" xfId="0" applyBorder="1"/>
    <xf numFmtId="0" fontId="0" fillId="0" borderId="6" xfId="0" applyBorder="1"/>
    <xf numFmtId="165" fontId="5" fillId="0" borderId="1" xfId="1" applyNumberFormat="1" applyFont="1" applyBorder="1"/>
    <xf numFmtId="165" fontId="5" fillId="0" borderId="2" xfId="1" applyNumberFormat="1" applyFont="1" applyBorder="1"/>
    <xf numFmtId="165" fontId="5" fillId="0" borderId="3" xfId="1" applyNumberFormat="1" applyFont="1" applyBorder="1"/>
    <xf numFmtId="165" fontId="5" fillId="0" borderId="4" xfId="1" applyNumberFormat="1" applyFont="1" applyBorder="1"/>
    <xf numFmtId="165" fontId="5" fillId="0" borderId="0" xfId="1" applyNumberFormat="1" applyFont="1" applyBorder="1"/>
    <xf numFmtId="165" fontId="5" fillId="0" borderId="5" xfId="1" applyNumberFormat="1" applyFont="1" applyBorder="1"/>
    <xf numFmtId="165" fontId="5" fillId="0" borderId="6" xfId="1" applyNumberFormat="1" applyFont="1" applyBorder="1"/>
    <xf numFmtId="165" fontId="5" fillId="0" borderId="7" xfId="1" applyNumberFormat="1" applyFont="1" applyBorder="1"/>
    <xf numFmtId="165" fontId="5" fillId="0" borderId="8" xfId="1" applyNumberFormat="1" applyFon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11" xfId="0" applyNumberFormat="1" applyBorder="1"/>
    <xf numFmtId="166" fontId="0" fillId="0" borderId="7" xfId="0" applyNumberFormat="1" applyBorder="1"/>
    <xf numFmtId="165" fontId="0" fillId="0" borderId="0" xfId="0" applyNumberFormat="1"/>
    <xf numFmtId="165" fontId="0" fillId="0" borderId="4" xfId="0" applyNumberFormat="1" applyBorder="1"/>
    <xf numFmtId="165" fontId="0" fillId="0" borderId="5" xfId="0" applyNumberFormat="1" applyBorder="1"/>
    <xf numFmtId="43" fontId="0" fillId="0" borderId="7" xfId="0" applyNumberFormat="1" applyBorder="1"/>
    <xf numFmtId="43" fontId="0" fillId="0" borderId="4" xfId="0" applyNumberFormat="1" applyBorder="1"/>
    <xf numFmtId="43" fontId="0" fillId="0" borderId="5" xfId="0" applyNumberFormat="1" applyBorder="1"/>
    <xf numFmtId="43" fontId="0" fillId="0" borderId="6" xfId="0" applyNumberFormat="1" applyBorder="1"/>
    <xf numFmtId="43" fontId="0" fillId="0" borderId="8" xfId="0" applyNumberFormat="1" applyBorder="1"/>
    <xf numFmtId="166" fontId="0" fillId="0" borderId="1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8" xfId="0" applyNumberFormat="1" applyBorder="1"/>
    <xf numFmtId="3" fontId="0" fillId="0" borderId="3" xfId="0" applyNumberFormat="1" applyBorder="1"/>
    <xf numFmtId="3" fontId="0" fillId="0" borderId="5" xfId="0" quotePrefix="1" applyNumberFormat="1" applyBorder="1"/>
    <xf numFmtId="3" fontId="0" fillId="0" borderId="8" xfId="0" applyNumberFormat="1" applyBorder="1"/>
    <xf numFmtId="37" fontId="0" fillId="0" borderId="12" xfId="0" applyNumberFormat="1" applyBorder="1"/>
    <xf numFmtId="37" fontId="0" fillId="0" borderId="13" xfId="0" applyNumberFormat="1" applyBorder="1"/>
    <xf numFmtId="3" fontId="0" fillId="0" borderId="13" xfId="0" applyNumberFormat="1" applyBorder="1"/>
    <xf numFmtId="0" fontId="0" fillId="0" borderId="14" xfId="0" applyBorder="1"/>
    <xf numFmtId="0" fontId="5" fillId="0" borderId="0" xfId="1" applyNumberFormat="1" applyFont="1"/>
    <xf numFmtId="165" fontId="5" fillId="0" borderId="0" xfId="1" applyNumberFormat="1" applyFont="1" applyFill="1" applyBorder="1"/>
    <xf numFmtId="43" fontId="5" fillId="0" borderId="4" xfId="1" applyFont="1" applyBorder="1"/>
    <xf numFmtId="165" fontId="5" fillId="2" borderId="0" xfId="1" applyNumberFormat="1" applyFont="1" applyFill="1" applyBorder="1"/>
    <xf numFmtId="165" fontId="5" fillId="2" borderId="5" xfId="1" applyNumberFormat="1" applyFont="1" applyFill="1" applyBorder="1"/>
    <xf numFmtId="0" fontId="0" fillId="0" borderId="0" xfId="0" applyAlignment="1">
      <alignment horizontal="right"/>
    </xf>
    <xf numFmtId="0" fontId="0" fillId="0" borderId="13" xfId="0" applyBorder="1"/>
    <xf numFmtId="0" fontId="0" fillId="0" borderId="0" xfId="0" quotePrefix="1" applyAlignment="1">
      <alignment horizontal="right"/>
    </xf>
    <xf numFmtId="43" fontId="5" fillId="0" borderId="0" xfId="1" applyFont="1"/>
    <xf numFmtId="9" fontId="2" fillId="0" borderId="0" xfId="0" applyNumberFormat="1" applyFont="1" applyAlignment="1">
      <alignment horizontal="center"/>
    </xf>
    <xf numFmtId="43" fontId="5" fillId="0" borderId="1" xfId="1" applyFont="1" applyBorder="1"/>
    <xf numFmtId="43" fontId="5" fillId="0" borderId="2" xfId="1" applyFont="1" applyBorder="1"/>
    <xf numFmtId="43" fontId="5" fillId="0" borderId="3" xfId="1" applyFont="1" applyBorder="1"/>
    <xf numFmtId="43" fontId="5" fillId="0" borderId="0" xfId="1" applyFont="1" applyBorder="1"/>
    <xf numFmtId="43" fontId="5" fillId="0" borderId="5" xfId="1" applyFont="1" applyBorder="1"/>
    <xf numFmtId="0" fontId="2" fillId="0" borderId="0" xfId="0" applyFont="1" applyAlignment="1">
      <alignment horizontal="right"/>
    </xf>
    <xf numFmtId="43" fontId="5" fillId="0" borderId="6" xfId="1" applyFont="1" applyBorder="1"/>
    <xf numFmtId="43" fontId="5" fillId="0" borderId="7" xfId="1" applyFont="1" applyBorder="1"/>
    <xf numFmtId="43" fontId="5" fillId="0" borderId="8" xfId="1" applyFont="1" applyBorder="1"/>
    <xf numFmtId="0" fontId="5" fillId="0" borderId="4" xfId="1" applyNumberFormat="1" applyFon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2" fontId="0" fillId="0" borderId="14" xfId="0" applyNumberFormat="1" applyBorder="1"/>
    <xf numFmtId="0" fontId="1" fillId="0" borderId="0" xfId="0" applyFont="1" applyAlignment="1">
      <alignment horizontal="left"/>
    </xf>
    <xf numFmtId="167" fontId="0" fillId="0" borderId="0" xfId="2" applyNumberFormat="1" applyFont="1"/>
    <xf numFmtId="0" fontId="0" fillId="0" borderId="0" xfId="2" applyNumberFormat="1" applyFont="1"/>
    <xf numFmtId="164" fontId="0" fillId="0" borderId="0" xfId="0" applyNumberFormat="1"/>
    <xf numFmtId="168" fontId="0" fillId="0" borderId="12" xfId="0" applyNumberFormat="1" applyBorder="1"/>
    <xf numFmtId="168" fontId="0" fillId="0" borderId="13" xfId="0" applyNumberFormat="1" applyBorder="1"/>
    <xf numFmtId="168" fontId="0" fillId="0" borderId="14" xfId="0" applyNumberFormat="1" applyBorder="1"/>
    <xf numFmtId="168" fontId="0" fillId="0" borderId="0" xfId="0" applyNumberFormat="1"/>
    <xf numFmtId="168" fontId="0" fillId="2" borderId="13" xfId="0" applyNumberFormat="1" applyFill="1" applyBorder="1"/>
    <xf numFmtId="0" fontId="0" fillId="2" borderId="13" xfId="0" applyFill="1" applyBorder="1"/>
    <xf numFmtId="2" fontId="0" fillId="2" borderId="13" xfId="0" applyNumberFormat="1" applyFill="1" applyBorder="1"/>
    <xf numFmtId="43" fontId="5" fillId="2" borderId="0" xfId="1" applyFont="1" applyFill="1" applyBorder="1"/>
    <xf numFmtId="165" fontId="5" fillId="0" borderId="0" xfId="1" applyNumberFormat="1" applyFont="1" applyAlignment="1"/>
    <xf numFmtId="0" fontId="1" fillId="0" borderId="0" xfId="0" applyFont="1" applyAlignment="1">
      <alignment horizontal="left"/>
    </xf>
  </cellXfs>
  <cellStyles count="3">
    <cellStyle name="Comma" xfId="1" builtinId="3"/>
    <cellStyle name="Normal" xfId="0" builtinId="0"/>
    <cellStyle name="Per 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C3"/>
  <sheetViews>
    <sheetView workbookViewId="0">
      <selection activeCell="J17" sqref="J17"/>
    </sheetView>
  </sheetViews>
  <sheetFormatPr baseColWidth="10" defaultColWidth="8.83203125" defaultRowHeight="15" x14ac:dyDescent="0.2"/>
  <sheetData>
    <row r="1" spans="1:3" x14ac:dyDescent="0.2">
      <c r="A1">
        <v>1</v>
      </c>
      <c r="B1">
        <v>2</v>
      </c>
      <c r="C1">
        <v>3</v>
      </c>
    </row>
    <row r="3" spans="1:3" x14ac:dyDescent="0.2">
      <c r="A3">
        <v>4</v>
      </c>
      <c r="B3">
        <v>5</v>
      </c>
      <c r="C3">
        <v>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101"/>
  <sheetViews>
    <sheetView tabSelected="1" topLeftCell="A37" zoomScaleNormal="100" workbookViewId="0">
      <selection activeCell="A74" sqref="A74"/>
    </sheetView>
  </sheetViews>
  <sheetFormatPr baseColWidth="10" defaultColWidth="8.83203125" defaultRowHeight="15" x14ac:dyDescent="0.2"/>
  <cols>
    <col min="1" max="1" width="20.6640625" customWidth="1"/>
    <col min="2" max="2" width="8" bestFit="1" customWidth="1"/>
    <col min="3" max="3" width="9" customWidth="1"/>
    <col min="4" max="4" width="6.83203125" customWidth="1"/>
    <col min="5" max="5" width="6.6640625" customWidth="1"/>
    <col min="6" max="6" width="8.6640625" customWidth="1"/>
    <col min="7" max="7" width="8.1640625" customWidth="1"/>
    <col min="8" max="8" width="8.5" customWidth="1"/>
    <col min="9" max="9" width="7.6640625" bestFit="1" customWidth="1"/>
  </cols>
  <sheetData>
    <row r="1" spans="1:12" ht="18" x14ac:dyDescent="0.2">
      <c r="A1" s="81" t="s">
        <v>36</v>
      </c>
      <c r="B1" s="81"/>
      <c r="C1" s="81"/>
      <c r="D1" s="81"/>
      <c r="E1" s="1"/>
      <c r="F1" s="1"/>
    </row>
    <row r="2" spans="1:12" x14ac:dyDescent="0.2">
      <c r="A2" t="s">
        <v>0</v>
      </c>
      <c r="B2" s="2">
        <v>0.12</v>
      </c>
      <c r="D2">
        <f ca="1">B76</f>
        <v>2.0041096371510845</v>
      </c>
      <c r="E2" s="35">
        <f ca="1">G33</f>
        <v>-66.428040915528527</v>
      </c>
      <c r="G2">
        <f ca="1">B76</f>
        <v>2.0041096371510845</v>
      </c>
    </row>
    <row r="3" spans="1:12" x14ac:dyDescent="0.2">
      <c r="A3" t="s">
        <v>29</v>
      </c>
      <c r="B3" s="2">
        <v>0.4</v>
      </c>
      <c r="C3" s="82"/>
      <c r="F3" s="2">
        <v>0.1</v>
      </c>
      <c r="G3">
        <f t="dataTable" ref="G3:G6" dt2D="0" dtr="0" r1="B13" ca="1"/>
        <v>2.0041096371510845</v>
      </c>
    </row>
    <row r="4" spans="1:12" x14ac:dyDescent="0.2">
      <c r="A4" t="s">
        <v>66</v>
      </c>
      <c r="B4" s="2">
        <v>0.12</v>
      </c>
      <c r="C4" s="82"/>
      <c r="F4" s="2">
        <v>0.2</v>
      </c>
      <c r="G4">
        <v>2.0041096371510845</v>
      </c>
    </row>
    <row r="5" spans="1:12" x14ac:dyDescent="0.2">
      <c r="A5" t="s">
        <v>63</v>
      </c>
      <c r="B5">
        <v>10</v>
      </c>
      <c r="C5" s="83"/>
      <c r="F5" s="2">
        <v>0.3</v>
      </c>
      <c r="G5">
        <v>2.0041096371510845</v>
      </c>
    </row>
    <row r="6" spans="1:12" x14ac:dyDescent="0.2">
      <c r="A6" t="s">
        <v>84</v>
      </c>
      <c r="B6">
        <v>6</v>
      </c>
      <c r="C6" s="83"/>
      <c r="D6" s="13"/>
      <c r="F6" s="2">
        <v>0.4</v>
      </c>
      <c r="G6">
        <v>2.0041096371510845</v>
      </c>
    </row>
    <row r="7" spans="1:12" x14ac:dyDescent="0.2">
      <c r="A7" t="s">
        <v>85</v>
      </c>
      <c r="B7">
        <v>8.75</v>
      </c>
      <c r="C7" s="83"/>
    </row>
    <row r="8" spans="1:12" x14ac:dyDescent="0.2">
      <c r="A8" t="s">
        <v>64</v>
      </c>
      <c r="B8">
        <v>1.3</v>
      </c>
      <c r="C8" s="83"/>
      <c r="D8" s="13"/>
    </row>
    <row r="9" spans="1:12" x14ac:dyDescent="0.2">
      <c r="A9" t="s">
        <v>1</v>
      </c>
      <c r="B9" s="2">
        <v>0.1</v>
      </c>
      <c r="C9" s="82"/>
      <c r="D9" s="84"/>
    </row>
    <row r="10" spans="1:12" x14ac:dyDescent="0.2">
      <c r="A10" t="s">
        <v>2</v>
      </c>
      <c r="B10" s="2">
        <v>0.06</v>
      </c>
      <c r="C10" s="82"/>
    </row>
    <row r="11" spans="1:12" x14ac:dyDescent="0.2">
      <c r="A11" t="s">
        <v>3</v>
      </c>
      <c r="B11" s="2">
        <v>0.04</v>
      </c>
      <c r="C11" s="82"/>
    </row>
    <row r="12" spans="1:12" x14ac:dyDescent="0.2">
      <c r="A12" t="s">
        <v>4</v>
      </c>
      <c r="B12" s="2">
        <v>0.2</v>
      </c>
      <c r="C12" s="82"/>
      <c r="D12" s="84"/>
    </row>
    <row r="13" spans="1:12" x14ac:dyDescent="0.2">
      <c r="A13" t="s">
        <v>5</v>
      </c>
      <c r="B13" s="2">
        <v>0.35</v>
      </c>
    </row>
    <row r="15" spans="1:12" s="4" customFormat="1" ht="13" x14ac:dyDescent="0.15">
      <c r="A15" s="4" t="s">
        <v>6</v>
      </c>
      <c r="B15" s="5">
        <v>0</v>
      </c>
      <c r="C15" s="5">
        <v>1</v>
      </c>
      <c r="D15" s="5">
        <v>2</v>
      </c>
      <c r="E15" s="5">
        <v>3</v>
      </c>
      <c r="F15" s="5">
        <v>4</v>
      </c>
      <c r="G15" s="5">
        <v>5</v>
      </c>
      <c r="H15" s="5"/>
      <c r="I15" s="5"/>
      <c r="J15" s="5"/>
      <c r="K15" s="5"/>
      <c r="L15" s="5"/>
    </row>
    <row r="16" spans="1:12" ht="16" thickBot="1" x14ac:dyDescent="0.25">
      <c r="A16" s="4" t="s">
        <v>7</v>
      </c>
    </row>
    <row r="17" spans="1:12" x14ac:dyDescent="0.2">
      <c r="A17" t="s">
        <v>8</v>
      </c>
      <c r="B17" s="26">
        <v>1000</v>
      </c>
      <c r="C17" s="22">
        <f>B17*(1+$B$2)</f>
        <v>1120</v>
      </c>
      <c r="D17" s="23">
        <f>C17*(1+$B$2)</f>
        <v>1254.4000000000001</v>
      </c>
      <c r="E17" s="23">
        <f>D17*(1+$B$2)</f>
        <v>1404.9280000000003</v>
      </c>
      <c r="F17" s="23">
        <f>E17*(1+$B$2)</f>
        <v>1573.5193600000005</v>
      </c>
      <c r="G17" s="24">
        <f>F17*(1+$B$2)</f>
        <v>1762.3416832000007</v>
      </c>
      <c r="H17" s="58" t="str">
        <f t="shared" ref="H17:H30" ca="1" si="0">_xlfn.FORMULATEXT(C17)</f>
        <v>=B17*(1+$B$2)</v>
      </c>
      <c r="I17" s="2"/>
      <c r="J17" s="57"/>
      <c r="K17" s="12"/>
      <c r="L17" s="12"/>
    </row>
    <row r="18" spans="1:12" x14ac:dyDescent="0.2">
      <c r="A18" t="s">
        <v>9</v>
      </c>
      <c r="B18" s="26">
        <v>-700</v>
      </c>
      <c r="C18" s="25">
        <f>C19-C17</f>
        <v>-672</v>
      </c>
      <c r="D18" s="26">
        <f t="shared" ref="C18:G18" si="1">D19-D17</f>
        <v>-752.6400000000001</v>
      </c>
      <c r="E18" s="26">
        <f t="shared" si="1"/>
        <v>-842.95680000000016</v>
      </c>
      <c r="F18" s="26">
        <f t="shared" si="1"/>
        <v>-944.11161600000025</v>
      </c>
      <c r="G18" s="27">
        <f t="shared" si="1"/>
        <v>-1057.4050099200003</v>
      </c>
      <c r="H18" s="58" t="str">
        <f t="shared" ca="1" si="0"/>
        <v>=C19-C17</v>
      </c>
      <c r="I18" s="2"/>
      <c r="J18" s="57"/>
      <c r="K18" s="12"/>
      <c r="L18" s="12"/>
    </row>
    <row r="19" spans="1:12" x14ac:dyDescent="0.2">
      <c r="A19" t="s">
        <v>67</v>
      </c>
      <c r="B19" s="26">
        <v>300</v>
      </c>
      <c r="C19" s="25">
        <f>C17*$B$3</f>
        <v>448</v>
      </c>
      <c r="D19" s="26">
        <f>D17*$B$3</f>
        <v>501.76000000000005</v>
      </c>
      <c r="E19" s="26">
        <f>E17*$B$3</f>
        <v>561.97120000000018</v>
      </c>
      <c r="F19" s="26">
        <f>F17*$B$3</f>
        <v>629.40774400000021</v>
      </c>
      <c r="G19" s="27">
        <f>G17*$B$3</f>
        <v>704.93667328000038</v>
      </c>
      <c r="H19" s="58" t="str">
        <f t="shared" ca="1" si="0"/>
        <v>=C17*$B$3</v>
      </c>
      <c r="J19" s="57"/>
      <c r="K19" s="12"/>
      <c r="L19" s="12"/>
    </row>
    <row r="20" spans="1:12" x14ac:dyDescent="0.2">
      <c r="A20" t="s">
        <v>65</v>
      </c>
      <c r="B20" s="26">
        <v>-90</v>
      </c>
      <c r="C20" s="25">
        <f>-C17*$B$4</f>
        <v>-134.4</v>
      </c>
      <c r="D20" s="26">
        <f>-D17*$B$4</f>
        <v>-150.52799999999999</v>
      </c>
      <c r="E20" s="26">
        <f>-E17*$B$4</f>
        <v>-168.59136000000004</v>
      </c>
      <c r="F20" s="26">
        <f>-F17*$B$4</f>
        <v>-188.82232320000006</v>
      </c>
      <c r="G20" s="27">
        <f>-G17*$B$4</f>
        <v>-211.48100198400007</v>
      </c>
      <c r="H20" s="58" t="str">
        <f t="shared" ca="1" si="0"/>
        <v>=-C17*$B$4</v>
      </c>
    </row>
    <row r="21" spans="1:12" x14ac:dyDescent="0.2">
      <c r="A21" t="s">
        <v>62</v>
      </c>
      <c r="B21" s="26">
        <v>210</v>
      </c>
      <c r="C21" s="25">
        <f t="shared" ref="C21:G21" si="2">C19+C20</f>
        <v>313.60000000000002</v>
      </c>
      <c r="D21" s="26">
        <f t="shared" si="2"/>
        <v>351.23200000000008</v>
      </c>
      <c r="E21" s="26">
        <f t="shared" si="2"/>
        <v>393.37984000000017</v>
      </c>
      <c r="F21" s="26">
        <f t="shared" si="2"/>
        <v>440.58542080000018</v>
      </c>
      <c r="G21" s="27">
        <f t="shared" si="2"/>
        <v>493.45567129600033</v>
      </c>
      <c r="H21" s="58" t="str">
        <f t="shared" ca="1" si="0"/>
        <v>=C19+C20</v>
      </c>
    </row>
    <row r="22" spans="1:12" x14ac:dyDescent="0.2">
      <c r="A22" t="s">
        <v>12</v>
      </c>
      <c r="B22" s="26">
        <v>-100</v>
      </c>
      <c r="C22" s="25">
        <f ca="1">-$B$9*(C38+B38)/2</f>
        <v>-117.40890688259111</v>
      </c>
      <c r="D22" s="26">
        <f ca="1">-$B$9*(D38+C38)/2</f>
        <v>-140.06733432772214</v>
      </c>
      <c r="E22" s="26">
        <f ca="1">-$B$9*(E38+D38)/2</f>
        <v>-166.34681081566052</v>
      </c>
      <c r="F22" s="26">
        <f ca="1">-$B$9*(F38+E38)/2</f>
        <v>-196.77681357358432</v>
      </c>
      <c r="G22" s="27">
        <f ca="1">-$B$9*(G38+F38)/2</f>
        <v>-231.96035197404262</v>
      </c>
      <c r="H22" s="58" t="str">
        <f t="shared" ca="1" si="0"/>
        <v>=-$B$9*(C38+B38)/2</v>
      </c>
      <c r="J22" s="57"/>
      <c r="K22" s="12"/>
      <c r="L22" s="12"/>
    </row>
    <row r="23" spans="1:12" x14ac:dyDescent="0.2">
      <c r="A23" t="s">
        <v>30</v>
      </c>
      <c r="B23" s="26">
        <v>110</v>
      </c>
      <c r="C23" s="25">
        <f t="shared" ref="C23:G23" ca="1" si="3">C21+C22</f>
        <v>196.19109311740891</v>
      </c>
      <c r="D23" s="26">
        <f t="shared" ca="1" si="3"/>
        <v>211.16466567227795</v>
      </c>
      <c r="E23" s="26">
        <f t="shared" ca="1" si="3"/>
        <v>227.03302918433965</v>
      </c>
      <c r="F23" s="26">
        <f t="shared" ca="1" si="3"/>
        <v>243.80860722641586</v>
      </c>
      <c r="G23" s="27">
        <f t="shared" ca="1" si="3"/>
        <v>261.49531932195771</v>
      </c>
      <c r="H23" s="58" t="str">
        <f t="shared" ca="1" si="0"/>
        <v>=C21+C22</v>
      </c>
      <c r="I23" s="2"/>
      <c r="J23" s="57"/>
      <c r="K23" s="12"/>
      <c r="L23" s="12"/>
    </row>
    <row r="24" spans="1:12" x14ac:dyDescent="0.2">
      <c r="A24" t="s">
        <v>10</v>
      </c>
      <c r="B24" s="26">
        <v>-38.589743589743584</v>
      </c>
      <c r="C24" s="25">
        <f>-$B$10*(B44+C44)/2</f>
        <v>-23.153846153846146</v>
      </c>
      <c r="D24" s="26">
        <f>-$B$10*(C44+D44)/2</f>
        <v>-23.153846153846146</v>
      </c>
      <c r="E24" s="26">
        <f>-$B$10*(D44+E44)/2</f>
        <v>-23.153846153846146</v>
      </c>
      <c r="F24" s="26">
        <f>-$B$10*(E44+F44)/2</f>
        <v>-23.153846153846146</v>
      </c>
      <c r="G24" s="27">
        <f>-$B$10*(F44+G44)/2</f>
        <v>-23.153846153846146</v>
      </c>
      <c r="H24" s="58" t="str">
        <f t="shared" ca="1" si="0"/>
        <v>=-$B$10*(B44+C44)/2</v>
      </c>
      <c r="I24" s="3"/>
      <c r="J24" s="57"/>
      <c r="K24" s="12"/>
      <c r="L24" s="12"/>
    </row>
    <row r="25" spans="1:12" x14ac:dyDescent="0.2">
      <c r="A25" t="s">
        <v>11</v>
      </c>
      <c r="B25" s="26">
        <v>6.4</v>
      </c>
      <c r="C25" s="25">
        <f ca="1">$B$11*(B33+C33)/2</f>
        <v>2.9736932656884916</v>
      </c>
      <c r="D25" s="26">
        <f ca="1">$B$11*(C33+D33)/2</f>
        <v>2.3057060914032332</v>
      </c>
      <c r="E25" s="26">
        <f ca="1">$B$11*(D33+E33)/2</f>
        <v>1.2862572534338141</v>
      </c>
      <c r="F25" s="26">
        <f ca="1">$B$11*(E33+F33)/2</f>
        <v>-3.392205228950388E-2</v>
      </c>
      <c r="G25" s="27">
        <f ca="1">$B$11*(F33+G33)/2</f>
        <v>-1.7167272983191471</v>
      </c>
      <c r="H25" s="58" t="str">
        <f t="shared" ca="1" si="0"/>
        <v>=$B$11*(B33+C33)/2</v>
      </c>
      <c r="I25" s="3"/>
      <c r="J25" s="57"/>
      <c r="K25" s="12"/>
      <c r="L25" s="12"/>
    </row>
    <row r="26" spans="1:12" x14ac:dyDescent="0.2">
      <c r="A26" t="s">
        <v>31</v>
      </c>
      <c r="B26" s="26">
        <v>77.810256410256414</v>
      </c>
      <c r="C26" s="25">
        <f t="shared" ref="C26:G26" ca="1" si="4">C23+C24+C25</f>
        <v>176.01094022925128</v>
      </c>
      <c r="D26" s="26">
        <f t="shared" ca="1" si="4"/>
        <v>190.31652560983503</v>
      </c>
      <c r="E26" s="26">
        <f t="shared" ca="1" si="4"/>
        <v>205.1654402839273</v>
      </c>
      <c r="F26" s="26">
        <f t="shared" ca="1" si="4"/>
        <v>220.62083902028021</v>
      </c>
      <c r="G26" s="27">
        <f t="shared" ca="1" si="4"/>
        <v>236.62474586979243</v>
      </c>
      <c r="H26" s="58" t="str">
        <f t="shared" ca="1" si="0"/>
        <v>=C23+C24+C25</v>
      </c>
      <c r="I26" s="2"/>
      <c r="J26" s="57"/>
      <c r="K26" s="12"/>
      <c r="L26" s="12"/>
    </row>
    <row r="27" spans="1:12" x14ac:dyDescent="0.2">
      <c r="A27" t="s">
        <v>13</v>
      </c>
      <c r="B27" s="26">
        <v>-31.124102564102568</v>
      </c>
      <c r="C27" s="25">
        <f ca="1">-C26*$B$12</f>
        <v>-35.202188045850257</v>
      </c>
      <c r="D27" s="26">
        <f ca="1">-D26*$B$12</f>
        <v>-38.063305121967005</v>
      </c>
      <c r="E27" s="26">
        <f ca="1">-E26*$B$12</f>
        <v>-41.033088056785459</v>
      </c>
      <c r="F27" s="26">
        <f ca="1">-F26*$B$12</f>
        <v>-44.124167804056043</v>
      </c>
      <c r="G27" s="27">
        <f ca="1">-G26*$B$12</f>
        <v>-47.324949173958487</v>
      </c>
      <c r="H27" s="58" t="str">
        <f t="shared" ca="1" si="0"/>
        <v>=-C26*$B$12</v>
      </c>
      <c r="I27" s="2"/>
      <c r="J27" s="57"/>
      <c r="K27" s="12"/>
      <c r="L27" s="12"/>
    </row>
    <row r="28" spans="1:12" x14ac:dyDescent="0.2">
      <c r="A28" t="s">
        <v>32</v>
      </c>
      <c r="B28" s="26">
        <v>46.686153846153843</v>
      </c>
      <c r="C28" s="25">
        <f t="shared" ref="C28:G28" ca="1" si="5">C27+C26</f>
        <v>140.80875218340103</v>
      </c>
      <c r="D28" s="26">
        <f t="shared" ca="1" si="5"/>
        <v>152.25322048786802</v>
      </c>
      <c r="E28" s="26">
        <f t="shared" ca="1" si="5"/>
        <v>164.13235222714184</v>
      </c>
      <c r="F28" s="26">
        <f t="shared" ca="1" si="5"/>
        <v>176.49667121622417</v>
      </c>
      <c r="G28" s="27">
        <f t="shared" ca="1" si="5"/>
        <v>189.29979669583395</v>
      </c>
      <c r="H28" s="58" t="str">
        <f t="shared" ca="1" si="0"/>
        <v>=C27+C26</v>
      </c>
      <c r="I28" s="12"/>
      <c r="J28" s="12"/>
      <c r="K28" s="12"/>
      <c r="L28" s="12"/>
    </row>
    <row r="29" spans="1:12" x14ac:dyDescent="0.2">
      <c r="A29" t="s">
        <v>15</v>
      </c>
      <c r="B29" s="26">
        <v>-18.674461538461539</v>
      </c>
      <c r="C29" s="25">
        <f ca="1">-$B$13*C28</f>
        <v>-49.283063264190353</v>
      </c>
      <c r="D29" s="26">
        <f ca="1">-$B$13*D28</f>
        <v>-53.288627170753806</v>
      </c>
      <c r="E29" s="26">
        <f ca="1">-$B$13*E28</f>
        <v>-57.446323279499637</v>
      </c>
      <c r="F29" s="26">
        <f ca="1">-$B$13*F28</f>
        <v>-61.773834925678457</v>
      </c>
      <c r="G29" s="27">
        <f ca="1">-$B$13*G28</f>
        <v>-66.254928843541876</v>
      </c>
      <c r="H29" s="58" t="str">
        <f t="shared" ca="1" si="0"/>
        <v>=-$B$13*C28</v>
      </c>
      <c r="I29" s="12"/>
      <c r="J29" s="12"/>
      <c r="K29" s="12"/>
      <c r="L29" s="12"/>
    </row>
    <row r="30" spans="1:12" x14ac:dyDescent="0.2">
      <c r="A30" t="s">
        <v>16</v>
      </c>
      <c r="B30" s="26">
        <v>28.011692307692304</v>
      </c>
      <c r="C30" s="25">
        <f t="shared" ref="C30:G30" ca="1" si="6">C29+C28</f>
        <v>91.525688919210666</v>
      </c>
      <c r="D30" s="26">
        <f t="shared" ca="1" si="6"/>
        <v>98.964593317114208</v>
      </c>
      <c r="E30" s="26">
        <f t="shared" ca="1" si="6"/>
        <v>106.6860289476422</v>
      </c>
      <c r="F30" s="26">
        <f t="shared" ca="1" si="6"/>
        <v>114.72283629054571</v>
      </c>
      <c r="G30" s="27">
        <f t="shared" ca="1" si="6"/>
        <v>123.04486785229207</v>
      </c>
      <c r="H30" s="58" t="str">
        <f t="shared" ca="1" si="0"/>
        <v>=C29+C28</v>
      </c>
      <c r="I30" s="12"/>
      <c r="J30" s="12"/>
      <c r="K30" s="12"/>
      <c r="L30" s="12"/>
    </row>
    <row r="31" spans="1:12" x14ac:dyDescent="0.2">
      <c r="B31" s="26"/>
      <c r="C31" s="25"/>
      <c r="D31" s="26"/>
      <c r="E31" s="26"/>
      <c r="F31" s="26"/>
      <c r="G31" s="27"/>
      <c r="H31" s="58"/>
      <c r="I31" s="12"/>
      <c r="J31" s="12"/>
      <c r="K31" s="12"/>
      <c r="L31" s="12"/>
    </row>
    <row r="32" spans="1:12" x14ac:dyDescent="0.2">
      <c r="A32" s="4" t="s">
        <v>17</v>
      </c>
      <c r="B32" s="26"/>
      <c r="C32" s="25"/>
      <c r="D32" s="26"/>
      <c r="E32" s="26"/>
      <c r="F32" s="26"/>
      <c r="G32" s="27"/>
      <c r="H32" s="58"/>
      <c r="I32" s="12"/>
      <c r="J32" s="12"/>
      <c r="K32" s="12"/>
      <c r="L32" s="12"/>
    </row>
    <row r="33" spans="1:12" x14ac:dyDescent="0.2">
      <c r="A33" s="6" t="s">
        <v>18</v>
      </c>
      <c r="B33" s="26">
        <v>80</v>
      </c>
      <c r="C33" s="59">
        <f ca="1">C47-C34-C35-C40</f>
        <v>68.68466328260763</v>
      </c>
      <c r="D33" s="26">
        <f ca="1">D47-D34-D35-D40</f>
        <v>46.600641265533568</v>
      </c>
      <c r="E33" s="26">
        <f ca="1">E47-E34-E35-E40</f>
        <v>17.712221272482111</v>
      </c>
      <c r="F33" s="60">
        <f ca="1">F47-F34-F35-F40</f>
        <v>-19.408324436384191</v>
      </c>
      <c r="G33" s="61">
        <f ca="1">G47-G34-G35-G40</f>
        <v>-66.428042221389205</v>
      </c>
      <c r="H33" s="58" t="str">
        <f ca="1">_xlfn.FORMULATEXT(C33)</f>
        <v>=C47-C34-C35-C40</v>
      </c>
      <c r="I33" s="12"/>
      <c r="J33" s="12"/>
      <c r="K33" s="12"/>
      <c r="L33" s="12"/>
    </row>
    <row r="34" spans="1:12" x14ac:dyDescent="0.2">
      <c r="A34" s="6" t="s">
        <v>34</v>
      </c>
      <c r="B34" s="26">
        <v>100</v>
      </c>
      <c r="C34" s="25">
        <f>C17/$B$5</f>
        <v>112</v>
      </c>
      <c r="D34" s="26">
        <f>D17/$B$5</f>
        <v>125.44000000000001</v>
      </c>
      <c r="E34" s="26">
        <f>E17/$B$5</f>
        <v>140.49280000000005</v>
      </c>
      <c r="F34" s="26">
        <f>F17/$B$5</f>
        <v>157.35193600000005</v>
      </c>
      <c r="G34" s="27">
        <f>G17/$B$5</f>
        <v>176.23416832000007</v>
      </c>
      <c r="H34" s="58" t="str">
        <f ca="1">_xlfn.FORMULATEXT(C34)</f>
        <v>=C17/$B$5</v>
      </c>
      <c r="I34" s="12"/>
      <c r="J34" s="12"/>
      <c r="K34" s="12"/>
      <c r="L34" s="12"/>
    </row>
    <row r="35" spans="1:12" x14ac:dyDescent="0.2">
      <c r="A35" s="6" t="s">
        <v>33</v>
      </c>
      <c r="B35" s="26">
        <v>116.66666666666667</v>
      </c>
      <c r="C35" s="25">
        <f>-C18/$B$6</f>
        <v>112</v>
      </c>
      <c r="D35" s="26">
        <f>-D18/$B$6</f>
        <v>125.44000000000001</v>
      </c>
      <c r="E35" s="26">
        <f>-E18/$B$6</f>
        <v>140.49280000000002</v>
      </c>
      <c r="F35" s="26">
        <f>-F18/$B$6</f>
        <v>157.35193600000005</v>
      </c>
      <c r="G35" s="27">
        <f>-G18/$B$6</f>
        <v>176.23416832000007</v>
      </c>
      <c r="H35" s="58" t="str">
        <f ca="1">_xlfn.FORMULATEXT(C35)</f>
        <v>=-C18/$B$6</v>
      </c>
      <c r="I35" s="12"/>
      <c r="J35" s="12"/>
      <c r="K35" s="12"/>
      <c r="L35" s="12"/>
    </row>
    <row r="36" spans="1:12" x14ac:dyDescent="0.2">
      <c r="A36" t="s">
        <v>19</v>
      </c>
      <c r="B36" s="26">
        <v>296.66666666666669</v>
      </c>
      <c r="C36" s="25">
        <f t="shared" ref="C36:G36" ca="1" si="7">C33+C34+C35</f>
        <v>292.68466328260763</v>
      </c>
      <c r="D36" s="26">
        <f t="shared" ca="1" si="7"/>
        <v>297.48064126553356</v>
      </c>
      <c r="E36" s="26">
        <f t="shared" ca="1" si="7"/>
        <v>298.6978212724822</v>
      </c>
      <c r="F36" s="26">
        <f t="shared" ca="1" si="7"/>
        <v>295.29554756361591</v>
      </c>
      <c r="G36" s="27">
        <f t="shared" ca="1" si="7"/>
        <v>286.04029441861093</v>
      </c>
      <c r="H36" s="58" t="str">
        <f ca="1">_xlfn.FORMULATEXT(C36)</f>
        <v>=C33+C34+C35</v>
      </c>
      <c r="I36" s="12"/>
      <c r="J36" s="12"/>
      <c r="K36" s="12"/>
      <c r="L36" s="12"/>
    </row>
    <row r="37" spans="1:12" x14ac:dyDescent="0.2">
      <c r="A37" t="s">
        <v>20</v>
      </c>
      <c r="B37" s="26"/>
      <c r="C37" s="25"/>
      <c r="D37" s="26"/>
      <c r="E37" s="26"/>
      <c r="F37" s="26"/>
      <c r="G37" s="27"/>
      <c r="H37" s="58"/>
      <c r="I37" s="12"/>
      <c r="J37" s="12"/>
      <c r="K37" s="12"/>
      <c r="L37" s="12"/>
    </row>
    <row r="38" spans="1:12" x14ac:dyDescent="0.2">
      <c r="A38" t="s">
        <v>21</v>
      </c>
      <c r="B38" s="26">
        <v>1069.2307692307691</v>
      </c>
      <c r="C38" s="25">
        <f ca="1">C40-C39</f>
        <v>1278.9473684210527</v>
      </c>
      <c r="D38" s="26">
        <f ca="1">D40-D39</f>
        <v>1522.3993181333901</v>
      </c>
      <c r="E38" s="26">
        <f ca="1">E40-E39</f>
        <v>1804.5368981798201</v>
      </c>
      <c r="F38" s="26">
        <f ca="1">F40-F39</f>
        <v>2130.999373291866</v>
      </c>
      <c r="G38" s="27">
        <f ca="1">G40-G39</f>
        <v>2508.207666188986</v>
      </c>
      <c r="H38" s="58" t="str">
        <f ca="1">_xlfn.FORMULATEXT(C38)</f>
        <v>=C40-C39</v>
      </c>
      <c r="I38" s="12"/>
      <c r="J38" s="12"/>
      <c r="K38" s="12"/>
      <c r="L38" s="12"/>
    </row>
    <row r="39" spans="1:12" x14ac:dyDescent="0.2">
      <c r="A39" t="s">
        <v>35</v>
      </c>
      <c r="B39" s="26">
        <v>-300</v>
      </c>
      <c r="C39" s="25">
        <f ca="1">B39+C22</f>
        <v>-417.40890688259111</v>
      </c>
      <c r="D39" s="26">
        <f ca="1">C39+D22</f>
        <v>-557.47624121031322</v>
      </c>
      <c r="E39" s="26">
        <f ca="1">D39+E22</f>
        <v>-723.82305202597377</v>
      </c>
      <c r="F39" s="26">
        <f ca="1">E39+F22</f>
        <v>-920.59986559955814</v>
      </c>
      <c r="G39" s="27">
        <f ca="1">F39+G22</f>
        <v>-1152.5602175736008</v>
      </c>
      <c r="H39" s="58" t="str">
        <f ca="1">_xlfn.FORMULATEXT(C39)</f>
        <v>=B39+C22</v>
      </c>
      <c r="I39" s="12"/>
      <c r="J39" s="12"/>
      <c r="K39" s="12"/>
      <c r="L39" s="12"/>
    </row>
    <row r="40" spans="1:12" x14ac:dyDescent="0.2">
      <c r="A40" t="s">
        <v>22</v>
      </c>
      <c r="B40" s="26">
        <v>769.23076923076917</v>
      </c>
      <c r="C40" s="25">
        <f>C17/$B$8</f>
        <v>861.53846153846155</v>
      </c>
      <c r="D40" s="26">
        <f>D17/$B$8</f>
        <v>964.92307692307691</v>
      </c>
      <c r="E40" s="26">
        <f>E17/$B$8</f>
        <v>1080.7138461538464</v>
      </c>
      <c r="F40" s="26">
        <f>F17/$B$8</f>
        <v>1210.3995076923079</v>
      </c>
      <c r="G40" s="27">
        <f>G17/$B$8</f>
        <v>1355.6474486153852</v>
      </c>
      <c r="H40" s="58" t="str">
        <f ca="1">_xlfn.FORMULATEXT(C40)</f>
        <v>=C17/$B$8</v>
      </c>
      <c r="I40" s="12"/>
      <c r="J40" s="12"/>
      <c r="K40" s="12"/>
      <c r="L40" s="12"/>
    </row>
    <row r="41" spans="1:12" x14ac:dyDescent="0.2">
      <c r="A41" s="4" t="s">
        <v>23</v>
      </c>
      <c r="B41" s="26">
        <v>1065.8974358974358</v>
      </c>
      <c r="C41" s="25">
        <f t="shared" ref="C41:G41" ca="1" si="8">C40+C36</f>
        <v>1154.2231248210692</v>
      </c>
      <c r="D41" s="26">
        <f t="shared" ca="1" si="8"/>
        <v>1262.4037181886106</v>
      </c>
      <c r="E41" s="26">
        <f t="shared" ca="1" si="8"/>
        <v>1379.4116674263287</v>
      </c>
      <c r="F41" s="26">
        <f t="shared" ca="1" si="8"/>
        <v>1505.6950552559238</v>
      </c>
      <c r="G41" s="27">
        <f t="shared" ca="1" si="8"/>
        <v>1641.6877430339962</v>
      </c>
      <c r="H41" s="58" t="str">
        <f ca="1">_xlfn.FORMULATEXT(C41)</f>
        <v>=C40+C36</v>
      </c>
      <c r="I41" s="12"/>
      <c r="J41" s="12"/>
      <c r="K41" s="12"/>
      <c r="L41" s="12"/>
    </row>
    <row r="42" spans="1:12" x14ac:dyDescent="0.2">
      <c r="B42" s="26"/>
      <c r="C42" s="25"/>
      <c r="D42" s="26"/>
      <c r="E42" s="26"/>
      <c r="F42" s="26"/>
      <c r="G42" s="27"/>
      <c r="H42" s="58"/>
      <c r="I42" s="12"/>
      <c r="J42" s="12"/>
      <c r="K42" s="12"/>
      <c r="L42" s="12"/>
    </row>
    <row r="43" spans="1:12" x14ac:dyDescent="0.2">
      <c r="A43" t="s">
        <v>24</v>
      </c>
      <c r="B43" s="26">
        <v>80</v>
      </c>
      <c r="C43" s="25">
        <f>-C18/$B$7</f>
        <v>76.8</v>
      </c>
      <c r="D43" s="26">
        <f>-D18/$B$7</f>
        <v>86.016000000000005</v>
      </c>
      <c r="E43" s="26">
        <f>-E18/$B$7</f>
        <v>96.337920000000011</v>
      </c>
      <c r="F43" s="26">
        <f>-F18/$B$7</f>
        <v>107.89847040000002</v>
      </c>
      <c r="G43" s="27">
        <f>-G18/$B$7</f>
        <v>120.84628684800003</v>
      </c>
      <c r="H43" s="58" t="str">
        <f ca="1">_xlfn.FORMULATEXT(C43)</f>
        <v>=-C18/$B$7</v>
      </c>
      <c r="I43" s="12"/>
      <c r="J43" s="12"/>
      <c r="K43" s="12"/>
      <c r="L43" s="12"/>
    </row>
    <row r="44" spans="1:12" x14ac:dyDescent="0.2">
      <c r="A44" t="s">
        <v>25</v>
      </c>
      <c r="B44" s="26">
        <v>385.8974358974358</v>
      </c>
      <c r="C44" s="25">
        <f t="shared" ref="C44:G45" si="9">B44</f>
        <v>385.8974358974358</v>
      </c>
      <c r="D44" s="26">
        <f t="shared" si="9"/>
        <v>385.8974358974358</v>
      </c>
      <c r="E44" s="26">
        <f t="shared" si="9"/>
        <v>385.8974358974358</v>
      </c>
      <c r="F44" s="26">
        <f t="shared" si="9"/>
        <v>385.8974358974358</v>
      </c>
      <c r="G44" s="27">
        <f t="shared" si="9"/>
        <v>385.8974358974358</v>
      </c>
      <c r="H44" s="58" t="str">
        <f ca="1">_xlfn.FORMULATEXT(C44)</f>
        <v>=B44</v>
      </c>
      <c r="I44" s="12"/>
      <c r="J44" s="12"/>
      <c r="K44" s="12"/>
      <c r="L44" s="12"/>
    </row>
    <row r="45" spans="1:12" x14ac:dyDescent="0.2">
      <c r="A45" t="s">
        <v>26</v>
      </c>
      <c r="B45" s="26">
        <v>450</v>
      </c>
      <c r="C45" s="25">
        <f t="shared" si="9"/>
        <v>450</v>
      </c>
      <c r="D45" s="26">
        <f t="shared" si="9"/>
        <v>450</v>
      </c>
      <c r="E45" s="26">
        <f t="shared" si="9"/>
        <v>450</v>
      </c>
      <c r="F45" s="26">
        <f t="shared" si="9"/>
        <v>450</v>
      </c>
      <c r="G45" s="27">
        <f t="shared" si="9"/>
        <v>450</v>
      </c>
      <c r="H45" s="58" t="str">
        <f ca="1">_xlfn.FORMULATEXT(C45)</f>
        <v>=B45</v>
      </c>
      <c r="I45" s="12"/>
      <c r="J45" s="12"/>
      <c r="K45" s="12"/>
      <c r="L45" s="12"/>
    </row>
    <row r="46" spans="1:12" x14ac:dyDescent="0.2">
      <c r="A46" t="s">
        <v>27</v>
      </c>
      <c r="B46" s="26">
        <v>150</v>
      </c>
      <c r="C46" s="25">
        <f ca="1">B46+C30</f>
        <v>241.52568891921067</v>
      </c>
      <c r="D46" s="26">
        <f ca="1">C46+D30</f>
        <v>340.4902822363249</v>
      </c>
      <c r="E46" s="26">
        <f ca="1">D46+E30</f>
        <v>447.17631118396707</v>
      </c>
      <c r="F46" s="26">
        <f ca="1">E46+F30</f>
        <v>561.8991474745128</v>
      </c>
      <c r="G46" s="27">
        <f ca="1">F46+G30</f>
        <v>684.9440153268049</v>
      </c>
      <c r="H46" s="58" t="str">
        <f ca="1">_xlfn.FORMULATEXT(C46)</f>
        <v>=B46+C30</v>
      </c>
      <c r="I46" s="12"/>
      <c r="J46" s="12"/>
      <c r="K46" s="12"/>
      <c r="L46" s="12"/>
    </row>
    <row r="47" spans="1:12" ht="16" thickBot="1" x14ac:dyDescent="0.25">
      <c r="A47" s="4" t="s">
        <v>28</v>
      </c>
      <c r="B47" s="26">
        <v>1065.8974358974358</v>
      </c>
      <c r="C47" s="28">
        <f t="shared" ref="C47:G47" ca="1" si="10">SUM(C43:C46)</f>
        <v>1154.2231248166463</v>
      </c>
      <c r="D47" s="29">
        <f t="shared" ca="1" si="10"/>
        <v>1262.4037181337608</v>
      </c>
      <c r="E47" s="29">
        <f t="shared" ca="1" si="10"/>
        <v>1379.4116670814028</v>
      </c>
      <c r="F47" s="29">
        <f t="shared" ca="1" si="10"/>
        <v>1505.6950537719486</v>
      </c>
      <c r="G47" s="30">
        <f t="shared" ca="1" si="10"/>
        <v>1641.6877380722408</v>
      </c>
      <c r="H47" s="58" t="str">
        <f ca="1">_xlfn.FORMULATEXT(C47)</f>
        <v>=SUM(C43:C46)</v>
      </c>
      <c r="I47" s="12"/>
      <c r="J47" s="12"/>
      <c r="K47" s="12"/>
      <c r="L47" s="12"/>
    </row>
    <row r="49" spans="1:8" s="4" customFormat="1" x14ac:dyDescent="0.2">
      <c r="A49" s="7" t="s">
        <v>6</v>
      </c>
      <c r="B49" s="8">
        <v>0</v>
      </c>
      <c r="C49" s="8">
        <v>1</v>
      </c>
      <c r="D49" s="8">
        <v>2</v>
      </c>
      <c r="E49" s="8">
        <v>3</v>
      </c>
      <c r="F49" s="8">
        <v>4</v>
      </c>
      <c r="G49" s="8">
        <v>5</v>
      </c>
      <c r="H49" s="12"/>
    </row>
    <row r="50" spans="1:8" s="4" customFormat="1" ht="16" thickBot="1" x14ac:dyDescent="0.25">
      <c r="A50" s="7" t="s">
        <v>41</v>
      </c>
      <c r="B50" s="8"/>
      <c r="C50" s="8"/>
      <c r="D50" s="8"/>
      <c r="E50" s="8"/>
      <c r="F50" s="8"/>
      <c r="G50" s="8"/>
      <c r="H50" s="12"/>
    </row>
    <row r="51" spans="1:8" x14ac:dyDescent="0.2">
      <c r="A51" s="9" t="s">
        <v>14</v>
      </c>
      <c r="B51" s="9"/>
      <c r="C51" s="43">
        <f ca="1">C28</f>
        <v>140.80875218340103</v>
      </c>
      <c r="D51" s="44">
        <f ca="1">D28</f>
        <v>152.25322048786802</v>
      </c>
      <c r="E51" s="44">
        <f ca="1">E28</f>
        <v>164.13235222714184</v>
      </c>
      <c r="F51" s="44">
        <f ca="1">F28</f>
        <v>176.49667121622417</v>
      </c>
      <c r="G51" s="45">
        <f ca="1">G28</f>
        <v>189.29979669583395</v>
      </c>
      <c r="H51" s="58" t="str">
        <f t="shared" ref="H51:H58" ca="1" si="11">_xlfn.FORMULATEXT(C51)</f>
        <v>=C28</v>
      </c>
    </row>
    <row r="52" spans="1:8" x14ac:dyDescent="0.2">
      <c r="A52" s="9" t="s">
        <v>42</v>
      </c>
      <c r="B52" s="9"/>
      <c r="C52" s="46">
        <f ca="1">-C22</f>
        <v>117.40890688259111</v>
      </c>
      <c r="D52" s="9">
        <f ca="1">-D22</f>
        <v>140.06733432772214</v>
      </c>
      <c r="E52" s="9">
        <f ca="1">-E22</f>
        <v>166.34681081566052</v>
      </c>
      <c r="F52" s="9">
        <f ca="1">-F22</f>
        <v>196.77681357358432</v>
      </c>
      <c r="G52" s="47">
        <f ca="1">-G22</f>
        <v>231.96035197404262</v>
      </c>
      <c r="H52" s="58" t="str">
        <f t="shared" ca="1" si="11"/>
        <v>=-C22</v>
      </c>
    </row>
    <row r="53" spans="1:8" x14ac:dyDescent="0.2">
      <c r="A53" s="9" t="s">
        <v>43</v>
      </c>
      <c r="B53" s="9"/>
      <c r="C53" s="46">
        <f ca="1">-(C36-B36)</f>
        <v>3.9820033840590554</v>
      </c>
      <c r="D53" s="9">
        <f ca="1">-(D36-C36)</f>
        <v>-4.7959779829259332</v>
      </c>
      <c r="E53" s="9">
        <f ca="1">-(E36-D36)</f>
        <v>-1.217180006948638</v>
      </c>
      <c r="F53" s="9">
        <f ca="1">-(F36-E36)</f>
        <v>3.4022737088662893</v>
      </c>
      <c r="G53" s="47">
        <f ca="1">-(G36-F36)</f>
        <v>9.2552531450049855</v>
      </c>
      <c r="H53" s="58" t="str">
        <f t="shared" ca="1" si="11"/>
        <v>=-(C36-B36)</v>
      </c>
    </row>
    <row r="54" spans="1:8" x14ac:dyDescent="0.2">
      <c r="A54" s="9" t="s">
        <v>44</v>
      </c>
      <c r="B54" s="9"/>
      <c r="C54" s="46">
        <f>C43-B43</f>
        <v>-3.2000000000000028</v>
      </c>
      <c r="D54" s="9">
        <f>D43-C43</f>
        <v>9.2160000000000082</v>
      </c>
      <c r="E54" s="9">
        <f>E43-D43</f>
        <v>10.321920000000006</v>
      </c>
      <c r="F54" s="9">
        <f>F43-E43</f>
        <v>11.560550400000011</v>
      </c>
      <c r="G54" s="47">
        <f>G43-F43</f>
        <v>12.947816448000012</v>
      </c>
      <c r="H54" s="58" t="str">
        <f t="shared" ca="1" si="11"/>
        <v>=C43-B43</v>
      </c>
    </row>
    <row r="55" spans="1:8" x14ac:dyDescent="0.2">
      <c r="A55" s="9" t="s">
        <v>45</v>
      </c>
      <c r="B55" s="9"/>
      <c r="C55" s="46">
        <f ca="1">-(C38-B38)</f>
        <v>-209.71659919028366</v>
      </c>
      <c r="D55" s="9">
        <f ca="1">-(D38-C38)</f>
        <v>-243.45194971233741</v>
      </c>
      <c r="E55" s="9">
        <f ca="1">-(E38-D38)</f>
        <v>-282.13758004643</v>
      </c>
      <c r="F55" s="9">
        <f ca="1">-(F38-E38)</f>
        <v>-326.46247511204592</v>
      </c>
      <c r="G55" s="47">
        <f ca="1">-(G38-F38)</f>
        <v>-377.20829289711992</v>
      </c>
      <c r="H55" s="58" t="str">
        <f t="shared" ca="1" si="11"/>
        <v>=-(C38-B38)</v>
      </c>
    </row>
    <row r="56" spans="1:8" x14ac:dyDescent="0.2">
      <c r="A56" s="9" t="s">
        <v>46</v>
      </c>
      <c r="B56" s="9"/>
      <c r="C56" s="46">
        <f t="shared" ref="C56:C57" si="12">-(1-$B$12)*C24</f>
        <v>18.523076923076918</v>
      </c>
      <c r="D56" s="9">
        <f t="shared" ref="D56:G57" si="13">-(1-$B$12)*D24</f>
        <v>18.523076923076918</v>
      </c>
      <c r="E56" s="9">
        <f t="shared" si="13"/>
        <v>18.523076923076918</v>
      </c>
      <c r="F56" s="9">
        <f t="shared" si="13"/>
        <v>18.523076923076918</v>
      </c>
      <c r="G56" s="47">
        <f t="shared" si="13"/>
        <v>18.523076923076918</v>
      </c>
      <c r="H56" s="58" t="str">
        <f t="shared" ca="1" si="11"/>
        <v>=-(1-$B$12)*C24</v>
      </c>
    </row>
    <row r="57" spans="1:8" x14ac:dyDescent="0.2">
      <c r="A57" s="9" t="s">
        <v>47</v>
      </c>
      <c r="B57" s="9"/>
      <c r="C57" s="46">
        <f t="shared" ca="1" si="12"/>
        <v>-2.3789546125507934</v>
      </c>
      <c r="D57" s="9">
        <f t="shared" ca="1" si="13"/>
        <v>-1.8445648731225868</v>
      </c>
      <c r="E57" s="9">
        <f t="shared" ca="1" si="13"/>
        <v>-1.0290058027470514</v>
      </c>
      <c r="F57" s="9">
        <f t="shared" ca="1" si="13"/>
        <v>2.7137641831603106E-2</v>
      </c>
      <c r="G57" s="47">
        <f t="shared" ca="1" si="13"/>
        <v>1.3733818386553178</v>
      </c>
      <c r="H57" s="58" t="str">
        <f t="shared" ca="1" si="11"/>
        <v>=-(1-$B$12)*C25</v>
      </c>
    </row>
    <row r="58" spans="1:8" ht="16" thickBot="1" x14ac:dyDescent="0.25">
      <c r="A58" s="7" t="s">
        <v>48</v>
      </c>
      <c r="B58" s="9"/>
      <c r="C58" s="48">
        <f ca="1">SUM(C51:C57)</f>
        <v>65.427185570293688</v>
      </c>
      <c r="D58" s="34">
        <f ca="1">SUM(D51:D57)</f>
        <v>69.967139170281172</v>
      </c>
      <c r="E58" s="34">
        <f ca="1">SUM(E51:E57)</f>
        <v>74.940394109753584</v>
      </c>
      <c r="F58" s="34">
        <f ca="1">SUM(F51:F57)</f>
        <v>80.324048351537385</v>
      </c>
      <c r="G58" s="49">
        <f ca="1">SUM(G51:G57)</f>
        <v>86.151384127493898</v>
      </c>
      <c r="H58" s="58" t="str">
        <f t="shared" ca="1" si="11"/>
        <v>=SUM(C51:C57)</v>
      </c>
    </row>
    <row r="60" spans="1:8" ht="18" x14ac:dyDescent="0.2">
      <c r="A60" s="10" t="s">
        <v>59</v>
      </c>
    </row>
    <row r="61" spans="1:8" s="6" customFormat="1" ht="13" x14ac:dyDescent="0.15">
      <c r="A61" s="6" t="s">
        <v>49</v>
      </c>
      <c r="B61" s="11">
        <v>0.2</v>
      </c>
    </row>
    <row r="62" spans="1:8" s="6" customFormat="1" ht="13" x14ac:dyDescent="0.15">
      <c r="A62" s="6" t="s">
        <v>50</v>
      </c>
      <c r="B62" s="11">
        <v>0.05</v>
      </c>
      <c r="C62" s="6" t="s">
        <v>51</v>
      </c>
    </row>
    <row r="63" spans="1:8" x14ac:dyDescent="0.2">
      <c r="A63" s="6"/>
    </row>
    <row r="64" spans="1:8" s="4" customFormat="1" ht="14" thickBot="1" x14ac:dyDescent="0.2">
      <c r="A64" s="7" t="s">
        <v>6</v>
      </c>
      <c r="B64" s="8">
        <v>0</v>
      </c>
      <c r="C64" s="8">
        <v>1</v>
      </c>
      <c r="D64" s="8">
        <v>2</v>
      </c>
      <c r="E64" s="8">
        <v>3</v>
      </c>
      <c r="F64" s="8">
        <v>4</v>
      </c>
      <c r="G64" s="8">
        <v>5</v>
      </c>
    </row>
    <row r="65" spans="1:8" x14ac:dyDescent="0.2">
      <c r="A65" t="s">
        <v>52</v>
      </c>
      <c r="C65" s="43">
        <f ca="1">C58</f>
        <v>65.427185570293688</v>
      </c>
      <c r="D65" s="44">
        <f ca="1">D58</f>
        <v>69.967139170281172</v>
      </c>
      <c r="E65" s="44">
        <f ca="1">E58</f>
        <v>74.940394109753584</v>
      </c>
      <c r="F65" s="44">
        <f ca="1">F58</f>
        <v>80.324048351537385</v>
      </c>
      <c r="G65" s="50">
        <f ca="1">G58</f>
        <v>86.151384127493898</v>
      </c>
      <c r="H65" s="58" t="str">
        <f t="shared" ref="H65:H67" ca="1" si="14">_xlfn.FORMULATEXT(C65)</f>
        <v>=C58</v>
      </c>
    </row>
    <row r="66" spans="1:8" x14ac:dyDescent="0.2">
      <c r="A66" t="s">
        <v>53</v>
      </c>
      <c r="C66" s="18"/>
      <c r="G66" s="51">
        <f ca="1">G65*(1+B62)/(B61-B62)</f>
        <v>603.05968889245719</v>
      </c>
      <c r="H66" s="58" t="str">
        <f ca="1">_xlfn.FORMULATEXT(G66)</f>
        <v>=G65*(1+B62)/(B61-B62)</v>
      </c>
    </row>
    <row r="67" spans="1:8" ht="16" thickBot="1" x14ac:dyDescent="0.25">
      <c r="A67" t="s">
        <v>54</v>
      </c>
      <c r="C67" s="48">
        <f ca="1">C66+C65</f>
        <v>65.427185570293688</v>
      </c>
      <c r="D67" s="34">
        <f ca="1">D66+D65</f>
        <v>69.967139170281172</v>
      </c>
      <c r="E67" s="34">
        <f ca="1">E66+E65</f>
        <v>74.940394109753584</v>
      </c>
      <c r="F67" s="34">
        <f ca="1">F66+F65</f>
        <v>80.324048351537385</v>
      </c>
      <c r="G67" s="52">
        <f ca="1">G66+G65</f>
        <v>689.21107301995107</v>
      </c>
      <c r="H67" s="58" t="str">
        <f t="shared" ca="1" si="14"/>
        <v>=C66+C65</v>
      </c>
    </row>
    <row r="68" spans="1:8" ht="16" thickBot="1" x14ac:dyDescent="0.25"/>
    <row r="69" spans="1:8" x14ac:dyDescent="0.2">
      <c r="A69" t="str">
        <f>"Enterprise value"</f>
        <v>Enterprise value</v>
      </c>
      <c r="B69" s="53">
        <f ca="1">NPV(B61,C67:G67)*(1+B61)^0.5</f>
        <v>506.30840292137952</v>
      </c>
      <c r="C69" s="58" t="str">
        <f ca="1">_xlfn.FORMULATEXT(B69)</f>
        <v>=NPV(B61,C67:G67)*(1+B61)^0.5</v>
      </c>
    </row>
    <row r="70" spans="1:8" x14ac:dyDescent="0.2">
      <c r="A70" t="s">
        <v>55</v>
      </c>
      <c r="B70" s="54">
        <f>B33</f>
        <v>80</v>
      </c>
      <c r="C70" s="58" t="str">
        <f t="shared" ref="C70:C76" ca="1" si="15">_xlfn.FORMULATEXT(B70)</f>
        <v>=B33</v>
      </c>
    </row>
    <row r="71" spans="1:8" x14ac:dyDescent="0.2">
      <c r="A71" t="s">
        <v>56</v>
      </c>
      <c r="B71" s="54">
        <f ca="1">B70+B69</f>
        <v>586.30840292137952</v>
      </c>
      <c r="C71" s="58" t="str">
        <f t="shared" ca="1" si="15"/>
        <v>=B70+B69</v>
      </c>
    </row>
    <row r="72" spans="1:8" x14ac:dyDescent="0.2">
      <c r="A72" t="s">
        <v>57</v>
      </c>
      <c r="B72" s="54">
        <f>-B44</f>
        <v>-385.8974358974358</v>
      </c>
      <c r="C72" s="58" t="str">
        <f t="shared" ca="1" si="15"/>
        <v>=-B44</v>
      </c>
      <c r="H72" t="s">
        <v>86</v>
      </c>
    </row>
    <row r="73" spans="1:8" x14ac:dyDescent="0.2">
      <c r="A73" t="s">
        <v>68</v>
      </c>
      <c r="B73" s="54">
        <v>0</v>
      </c>
      <c r="C73" s="58"/>
    </row>
    <row r="74" spans="1:8" x14ac:dyDescent="0.2">
      <c r="A74" t="s">
        <v>58</v>
      </c>
      <c r="B74" s="54">
        <f ca="1">B71+B72</f>
        <v>200.41096702394373</v>
      </c>
      <c r="C74" s="58" t="str">
        <f t="shared" ca="1" si="15"/>
        <v>=B71+B72</v>
      </c>
    </row>
    <row r="75" spans="1:8" x14ac:dyDescent="0.2">
      <c r="A75" t="s">
        <v>60</v>
      </c>
      <c r="B75" s="55">
        <v>100</v>
      </c>
      <c r="C75" s="58"/>
    </row>
    <row r="76" spans="1:8" ht="16" thickBot="1" x14ac:dyDescent="0.25">
      <c r="A76" t="s">
        <v>61</v>
      </c>
      <c r="B76" s="56">
        <f ca="1">B74/B75</f>
        <v>2.0041096702394374</v>
      </c>
      <c r="C76" s="58" t="str">
        <f t="shared" ca="1" si="15"/>
        <v>=B74/B75</v>
      </c>
    </row>
    <row r="78" spans="1:8" x14ac:dyDescent="0.2">
      <c r="A78" s="4" t="str">
        <f>"Data table:  The effect of gross profit margin (cell B3) on share price"</f>
        <v>Data table:  The effect of gross profit margin (cell B3) on share price</v>
      </c>
    </row>
    <row r="79" spans="1:8" x14ac:dyDescent="0.2">
      <c r="G79" t="s">
        <v>88</v>
      </c>
      <c r="H79" t="s">
        <v>89</v>
      </c>
    </row>
    <row r="80" spans="1:8" ht="16" thickBot="1" x14ac:dyDescent="0.25">
      <c r="B80" s="62" t="s">
        <v>87</v>
      </c>
      <c r="C80" s="88">
        <f ca="1">B76</f>
        <v>2.0041096702394374</v>
      </c>
      <c r="F80" s="62" t="s">
        <v>0</v>
      </c>
      <c r="G80">
        <f ca="1">B76</f>
        <v>2.0041096702394374</v>
      </c>
      <c r="H80" s="35">
        <f ca="1">G33</f>
        <v>-66.428042221389205</v>
      </c>
    </row>
    <row r="81" spans="1:11" x14ac:dyDescent="0.2">
      <c r="B81" s="2">
        <v>0.32</v>
      </c>
      <c r="C81" s="85">
        <f t="dataTable" ref="C81:C89" dt2D="0" dtr="0" r1="B3" ca="1"/>
        <v>2.0041096702394374</v>
      </c>
      <c r="F81" s="2">
        <v>0</v>
      </c>
      <c r="G81" s="77">
        <f t="dataTable" ref="G81:H89" dt2D="0" dtr="0" r1="B2" ca="1"/>
        <v>2.0041096702394374</v>
      </c>
      <c r="H81" s="78">
        <v>-66.428042221389205</v>
      </c>
    </row>
    <row r="82" spans="1:11" x14ac:dyDescent="0.2">
      <c r="B82" s="2">
        <v>0.34</v>
      </c>
      <c r="C82" s="86">
        <v>2.0041096702394374</v>
      </c>
      <c r="F82" s="2">
        <v>0.02</v>
      </c>
      <c r="G82" s="63">
        <v>2.0041096702394374</v>
      </c>
      <c r="H82" s="79">
        <v>-66.428042221389205</v>
      </c>
    </row>
    <row r="83" spans="1:11" x14ac:dyDescent="0.2">
      <c r="A83" t="str">
        <f ca="1">_xlfn.FORMULATEXT(C83)</f>
        <v>{=TABLE(,B3)}</v>
      </c>
      <c r="B83" s="2">
        <v>0.36</v>
      </c>
      <c r="C83" s="86">
        <v>2.0041096702394374</v>
      </c>
      <c r="E83" t="str">
        <f ca="1">_xlfn.FORMULATEXT(G83)</f>
        <v>{=TABLE(,B2)}</v>
      </c>
      <c r="F83" s="2">
        <v>0.05</v>
      </c>
      <c r="G83" s="63">
        <v>2.0041096702394374</v>
      </c>
      <c r="H83" s="79">
        <v>-66.428042221389205</v>
      </c>
    </row>
    <row r="84" spans="1:11" x14ac:dyDescent="0.2">
      <c r="B84" s="2">
        <v>0.38</v>
      </c>
      <c r="C84" s="86">
        <v>2.0041096702394374</v>
      </c>
      <c r="F84" s="2">
        <v>0.08</v>
      </c>
      <c r="G84" s="63">
        <v>2.0041096702394374</v>
      </c>
      <c r="H84" s="79">
        <v>-66.428042221389205</v>
      </c>
    </row>
    <row r="85" spans="1:11" x14ac:dyDescent="0.2">
      <c r="B85" s="2">
        <v>0.4</v>
      </c>
      <c r="C85" s="89">
        <v>2.0041096702394374</v>
      </c>
      <c r="F85" s="2">
        <v>0.1</v>
      </c>
      <c r="G85" s="90">
        <v>2.0041096702394374</v>
      </c>
      <c r="H85" s="91">
        <v>-66.428042221389205</v>
      </c>
    </row>
    <row r="86" spans="1:11" x14ac:dyDescent="0.2">
      <c r="B86" s="2">
        <v>0.42</v>
      </c>
      <c r="C86" s="86">
        <v>2.0041096702394374</v>
      </c>
      <c r="F86" s="2">
        <v>0.12</v>
      </c>
      <c r="G86" s="63">
        <v>2.0041096702394374</v>
      </c>
      <c r="H86" s="79">
        <v>-66.428042221389205</v>
      </c>
    </row>
    <row r="87" spans="1:11" x14ac:dyDescent="0.2">
      <c r="B87" s="2">
        <v>0.44</v>
      </c>
      <c r="C87" s="86">
        <v>2.0041096702394374</v>
      </c>
      <c r="F87" s="2">
        <v>0.15</v>
      </c>
      <c r="G87" s="63">
        <v>2.0041096702394374</v>
      </c>
      <c r="H87" s="79">
        <v>-66.428042221389205</v>
      </c>
    </row>
    <row r="88" spans="1:11" x14ac:dyDescent="0.2">
      <c r="B88" s="2">
        <v>0.46</v>
      </c>
      <c r="C88" s="86">
        <v>2.0041096702394374</v>
      </c>
      <c r="F88" s="2">
        <v>0.18</v>
      </c>
      <c r="G88" s="63">
        <v>2.0041096702394374</v>
      </c>
      <c r="H88" s="79">
        <v>-66.428042221389205</v>
      </c>
    </row>
    <row r="89" spans="1:11" ht="16" thickBot="1" x14ac:dyDescent="0.25">
      <c r="B89" s="2">
        <v>0.48</v>
      </c>
      <c r="C89" s="87">
        <v>2.0041096702394374</v>
      </c>
      <c r="F89" s="2">
        <v>0.2</v>
      </c>
      <c r="G89" s="56">
        <v>2.0041096702394374</v>
      </c>
      <c r="H89" s="80">
        <v>-66.428042221389205</v>
      </c>
    </row>
    <row r="91" spans="1:11" x14ac:dyDescent="0.2">
      <c r="H91" s="4" t="s">
        <v>90</v>
      </c>
    </row>
    <row r="92" spans="1:11" ht="16" thickBot="1" x14ac:dyDescent="0.25">
      <c r="A92" s="64" t="s">
        <v>91</v>
      </c>
      <c r="B92" s="65" t="str">
        <f ca="1">IF(B61&gt;B62,B76,"")</f>
        <v/>
      </c>
      <c r="C92" s="66">
        <v>0.1</v>
      </c>
      <c r="D92" s="66">
        <v>0.12</v>
      </c>
      <c r="E92" s="66">
        <v>0.14000000000000001</v>
      </c>
      <c r="F92" s="66">
        <v>0.16</v>
      </c>
      <c r="G92" s="66">
        <v>0.18</v>
      </c>
      <c r="H92" s="66">
        <v>0.2</v>
      </c>
      <c r="I92" s="66">
        <v>0.22</v>
      </c>
      <c r="J92" s="66">
        <v>0.24</v>
      </c>
      <c r="K92" s="66">
        <v>0.26</v>
      </c>
    </row>
    <row r="93" spans="1:11" x14ac:dyDescent="0.2">
      <c r="B93" s="66">
        <v>0</v>
      </c>
      <c r="C93" s="67" t="str">
        <f t="dataTable" ref="C93:K101" dt2D="1" dtr="1" r1="B61" r2="B62" ca="1"/>
        <v/>
      </c>
      <c r="D93" s="68" t="str">
        <v/>
      </c>
      <c r="E93" s="68" t="str">
        <v/>
      </c>
      <c r="F93" s="68" t="str">
        <v/>
      </c>
      <c r="G93" s="68" t="str">
        <v/>
      </c>
      <c r="H93" s="68" t="str">
        <v/>
      </c>
      <c r="I93" s="68" t="str">
        <v/>
      </c>
      <c r="J93" s="68" t="str">
        <v/>
      </c>
      <c r="K93" s="69" t="str">
        <v/>
      </c>
    </row>
    <row r="94" spans="1:11" x14ac:dyDescent="0.2">
      <c r="B94" s="66">
        <v>0.02</v>
      </c>
      <c r="C94" s="59" t="str">
        <v/>
      </c>
      <c r="D94" s="70" t="str">
        <v/>
      </c>
      <c r="E94" s="70" t="str">
        <v/>
      </c>
      <c r="F94" s="70" t="str">
        <v/>
      </c>
      <c r="G94" s="70" t="str">
        <v/>
      </c>
      <c r="H94" s="70" t="str">
        <v/>
      </c>
      <c r="I94" s="70" t="str">
        <v/>
      </c>
      <c r="J94" s="70" t="str">
        <v/>
      </c>
      <c r="K94" s="71" t="str">
        <v/>
      </c>
    </row>
    <row r="95" spans="1:11" x14ac:dyDescent="0.2">
      <c r="B95" s="66">
        <v>0.04</v>
      </c>
      <c r="C95" s="59" t="str">
        <v/>
      </c>
      <c r="D95" s="70" t="str">
        <v/>
      </c>
      <c r="E95" s="70" t="str">
        <v/>
      </c>
      <c r="F95" s="70" t="str">
        <v/>
      </c>
      <c r="G95" s="70" t="str">
        <v/>
      </c>
      <c r="H95" s="70" t="str">
        <v/>
      </c>
      <c r="I95" s="70" t="str">
        <v/>
      </c>
      <c r="J95" s="70" t="str">
        <v/>
      </c>
      <c r="K95" s="71" t="str">
        <v/>
      </c>
    </row>
    <row r="96" spans="1:11" x14ac:dyDescent="0.2">
      <c r="A96" s="72" t="s">
        <v>92</v>
      </c>
      <c r="B96" s="66">
        <v>0.05</v>
      </c>
      <c r="C96" s="59" t="str">
        <v/>
      </c>
      <c r="D96" s="70" t="str">
        <v/>
      </c>
      <c r="E96" s="70" t="str">
        <v/>
      </c>
      <c r="F96" s="70" t="str">
        <v/>
      </c>
      <c r="G96" s="70" t="str">
        <v/>
      </c>
      <c r="H96" s="92" t="str">
        <v/>
      </c>
      <c r="I96" s="70" t="str">
        <v/>
      </c>
      <c r="J96" s="70" t="str">
        <v/>
      </c>
      <c r="K96" s="71" t="str">
        <v/>
      </c>
    </row>
    <row r="97" spans="2:11" x14ac:dyDescent="0.2">
      <c r="B97" s="66">
        <v>0.08</v>
      </c>
      <c r="C97" s="59" t="str">
        <v/>
      </c>
      <c r="D97" s="70" t="str">
        <v/>
      </c>
      <c r="E97" s="70" t="str">
        <v/>
      </c>
      <c r="F97" s="70" t="str">
        <v/>
      </c>
      <c r="G97" s="70" t="str">
        <v/>
      </c>
      <c r="H97" s="70" t="str">
        <v/>
      </c>
      <c r="I97" s="70" t="str">
        <v/>
      </c>
      <c r="J97" s="70" t="str">
        <v/>
      </c>
      <c r="K97" s="71" t="str">
        <v/>
      </c>
    </row>
    <row r="98" spans="2:11" x14ac:dyDescent="0.2">
      <c r="B98" s="66">
        <v>0.1</v>
      </c>
      <c r="C98" s="59" t="str">
        <v/>
      </c>
      <c r="D98" s="70" t="str">
        <v/>
      </c>
      <c r="E98" s="70" t="str">
        <v/>
      </c>
      <c r="F98" s="70" t="str">
        <v/>
      </c>
      <c r="G98" s="70" t="str">
        <v/>
      </c>
      <c r="H98" s="70" t="str">
        <v/>
      </c>
      <c r="I98" s="70" t="str">
        <v/>
      </c>
      <c r="J98" s="70" t="str">
        <v/>
      </c>
      <c r="K98" s="71" t="str">
        <v/>
      </c>
    </row>
    <row r="99" spans="2:11" x14ac:dyDescent="0.2">
      <c r="B99" s="66">
        <v>0.12</v>
      </c>
      <c r="C99" s="59" t="str">
        <v/>
      </c>
      <c r="D99" s="70" t="str">
        <v/>
      </c>
      <c r="E99" s="70" t="str">
        <v/>
      </c>
      <c r="F99" s="70" t="str">
        <v/>
      </c>
      <c r="G99" s="70" t="str">
        <v/>
      </c>
      <c r="H99" s="70" t="str">
        <v/>
      </c>
      <c r="I99" s="70" t="str">
        <v/>
      </c>
      <c r="J99" s="70" t="str">
        <v/>
      </c>
      <c r="K99" s="71" t="str">
        <v/>
      </c>
    </row>
    <row r="100" spans="2:11" x14ac:dyDescent="0.2">
      <c r="B100" s="66">
        <v>0.14000000000000001</v>
      </c>
      <c r="C100" s="59" t="str">
        <v/>
      </c>
      <c r="D100" s="70" t="str">
        <v/>
      </c>
      <c r="E100" s="70" t="str">
        <v/>
      </c>
      <c r="F100" s="70" t="str">
        <v/>
      </c>
      <c r="G100" s="70" t="str">
        <v/>
      </c>
      <c r="H100" s="70" t="str">
        <v/>
      </c>
      <c r="I100" s="70" t="str">
        <v/>
      </c>
      <c r="J100" s="70" t="str">
        <v/>
      </c>
      <c r="K100" s="71" t="str">
        <v/>
      </c>
    </row>
    <row r="101" spans="2:11" ht="16" thickBot="1" x14ac:dyDescent="0.25">
      <c r="B101" s="66">
        <v>0.16</v>
      </c>
      <c r="C101" s="73" t="str">
        <v/>
      </c>
      <c r="D101" s="74" t="str">
        <v/>
      </c>
      <c r="E101" s="74" t="str">
        <v/>
      </c>
      <c r="F101" s="74" t="str">
        <v/>
      </c>
      <c r="G101" s="74" t="str">
        <v/>
      </c>
      <c r="H101" s="74" t="str">
        <v/>
      </c>
      <c r="I101" s="74" t="str">
        <v/>
      </c>
      <c r="J101" s="74" t="str">
        <v/>
      </c>
      <c r="K101" s="75" t="str">
        <v/>
      </c>
    </row>
  </sheetData>
  <printOptions headings="1" gridLines="1"/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I79"/>
  <sheetViews>
    <sheetView topLeftCell="A57" zoomScale="80" zoomScaleNormal="80" workbookViewId="0">
      <selection activeCell="A50" sqref="A50:H79"/>
    </sheetView>
  </sheetViews>
  <sheetFormatPr baseColWidth="10" defaultColWidth="8.83203125" defaultRowHeight="15" x14ac:dyDescent="0.2"/>
  <cols>
    <col min="1" max="1" width="33.33203125" customWidth="1"/>
    <col min="2" max="2" width="7.6640625" bestFit="1" customWidth="1"/>
    <col min="3" max="3" width="9.5" customWidth="1"/>
    <col min="4" max="6" width="8.1640625" bestFit="1" customWidth="1"/>
    <col min="7" max="7" width="8.1640625" customWidth="1"/>
    <col min="8" max="8" width="25.1640625" customWidth="1"/>
  </cols>
  <sheetData>
    <row r="1" spans="1:9" ht="18" x14ac:dyDescent="0.2">
      <c r="A1" s="81" t="s">
        <v>37</v>
      </c>
      <c r="B1" s="81"/>
      <c r="C1" s="81"/>
      <c r="D1" s="81"/>
      <c r="E1" s="1"/>
      <c r="F1" s="1"/>
    </row>
    <row r="2" spans="1:9" x14ac:dyDescent="0.2">
      <c r="A2" t="s">
        <v>0</v>
      </c>
      <c r="B2" s="2">
        <v>0.12</v>
      </c>
      <c r="I2" s="2"/>
    </row>
    <row r="3" spans="1:9" x14ac:dyDescent="0.2">
      <c r="A3" t="s">
        <v>29</v>
      </c>
      <c r="B3" s="2">
        <v>0.4</v>
      </c>
      <c r="I3" s="2"/>
    </row>
    <row r="4" spans="1:9" x14ac:dyDescent="0.2">
      <c r="A4" t="s">
        <v>66</v>
      </c>
      <c r="B4" s="2">
        <v>0.12</v>
      </c>
      <c r="I4" s="2"/>
    </row>
    <row r="5" spans="1:9" x14ac:dyDescent="0.2">
      <c r="A5" t="s">
        <v>63</v>
      </c>
      <c r="B5">
        <v>10</v>
      </c>
    </row>
    <row r="6" spans="1:9" x14ac:dyDescent="0.2">
      <c r="A6" t="s">
        <v>84</v>
      </c>
      <c r="B6">
        <v>6</v>
      </c>
    </row>
    <row r="7" spans="1:9" x14ac:dyDescent="0.2">
      <c r="A7" t="s">
        <v>85</v>
      </c>
      <c r="B7">
        <v>8.75</v>
      </c>
    </row>
    <row r="8" spans="1:9" x14ac:dyDescent="0.2">
      <c r="A8" t="s">
        <v>64</v>
      </c>
      <c r="B8">
        <v>1.3</v>
      </c>
    </row>
    <row r="9" spans="1:9" x14ac:dyDescent="0.2">
      <c r="A9" t="s">
        <v>1</v>
      </c>
      <c r="B9" s="2">
        <v>0.1</v>
      </c>
      <c r="I9" s="2"/>
    </row>
    <row r="10" spans="1:9" x14ac:dyDescent="0.2">
      <c r="A10" t="s">
        <v>2</v>
      </c>
      <c r="B10" s="2">
        <v>0.06</v>
      </c>
      <c r="I10" s="2"/>
    </row>
    <row r="11" spans="1:9" x14ac:dyDescent="0.2">
      <c r="A11" t="s">
        <v>3</v>
      </c>
      <c r="B11" s="2">
        <v>0.04</v>
      </c>
      <c r="I11" s="2"/>
    </row>
    <row r="12" spans="1:9" x14ac:dyDescent="0.2">
      <c r="A12" t="s">
        <v>4</v>
      </c>
      <c r="B12" s="2">
        <v>0.2</v>
      </c>
      <c r="I12" s="2"/>
    </row>
    <row r="13" spans="1:9" x14ac:dyDescent="0.2">
      <c r="A13" t="s">
        <v>5</v>
      </c>
      <c r="B13" s="2">
        <v>0.35</v>
      </c>
      <c r="I13" s="2"/>
    </row>
    <row r="14" spans="1:9" x14ac:dyDescent="0.2">
      <c r="A14" t="s">
        <v>38</v>
      </c>
      <c r="B14">
        <v>10</v>
      </c>
    </row>
    <row r="15" spans="1:9" s="4" customFormat="1" x14ac:dyDescent="0.2">
      <c r="A15"/>
      <c r="B15"/>
      <c r="C15"/>
    </row>
    <row r="16" spans="1:9" x14ac:dyDescent="0.2">
      <c r="A16" s="4" t="s">
        <v>6</v>
      </c>
      <c r="B16" s="5">
        <v>0</v>
      </c>
      <c r="C16" s="5">
        <v>1</v>
      </c>
      <c r="D16" s="5">
        <v>2</v>
      </c>
      <c r="E16" s="5">
        <v>3</v>
      </c>
      <c r="F16" s="5">
        <v>4</v>
      </c>
      <c r="G16" s="5">
        <v>5</v>
      </c>
    </row>
    <row r="17" spans="1:8" ht="16" thickBot="1" x14ac:dyDescent="0.25">
      <c r="A17" s="4" t="s">
        <v>7</v>
      </c>
      <c r="D17" s="12"/>
      <c r="E17" s="12"/>
      <c r="F17" s="12"/>
    </row>
    <row r="18" spans="1:8" x14ac:dyDescent="0.2">
      <c r="A18" t="s">
        <v>8</v>
      </c>
      <c r="B18" s="12">
        <v>1000</v>
      </c>
      <c r="C18" s="22">
        <f>B18*(1+$B$2)</f>
        <v>1120</v>
      </c>
      <c r="D18" s="23">
        <f>C18*(1+$B$2)</f>
        <v>1254.4000000000001</v>
      </c>
      <c r="E18" s="23">
        <f>D18*(1+$B$2)</f>
        <v>1404.9280000000003</v>
      </c>
      <c r="F18" s="23">
        <f>E18*(1+$B$2)</f>
        <v>1573.5193600000005</v>
      </c>
      <c r="G18" s="24">
        <f>F18*(1+$B$2)</f>
        <v>1762.3416832000007</v>
      </c>
      <c r="H18" s="12" t="str">
        <f ca="1">_xlfn.FORMULATEXT(C18)</f>
        <v>=B18*(1+$B$2)</v>
      </c>
    </row>
    <row r="19" spans="1:8" x14ac:dyDescent="0.2">
      <c r="A19" t="s">
        <v>9</v>
      </c>
      <c r="B19" s="12">
        <f t="shared" ref="B19:G19" si="0">B20-B18</f>
        <v>-600</v>
      </c>
      <c r="C19" s="25">
        <f t="shared" si="0"/>
        <v>-672</v>
      </c>
      <c r="D19" s="26">
        <f t="shared" si="0"/>
        <v>-752.6400000000001</v>
      </c>
      <c r="E19" s="26">
        <f t="shared" si="0"/>
        <v>-842.95680000000016</v>
      </c>
      <c r="F19" s="26">
        <f t="shared" si="0"/>
        <v>-944.11161600000025</v>
      </c>
      <c r="G19" s="27">
        <f t="shared" si="0"/>
        <v>-1057.4050099200003</v>
      </c>
      <c r="H19" s="12" t="str">
        <f t="shared" ref="H19:H68" ca="1" si="1">_xlfn.FORMULATEXT(C19)</f>
        <v>=C20-C18</v>
      </c>
    </row>
    <row r="20" spans="1:8" x14ac:dyDescent="0.2">
      <c r="A20" t="s">
        <v>67</v>
      </c>
      <c r="B20" s="12">
        <v>400</v>
      </c>
      <c r="C20" s="25">
        <f>C18*$B$3</f>
        <v>448</v>
      </c>
      <c r="D20" s="26">
        <f>D18*$B$3</f>
        <v>501.76000000000005</v>
      </c>
      <c r="E20" s="26">
        <f>E18*$B$3</f>
        <v>561.97120000000018</v>
      </c>
      <c r="F20" s="26">
        <f>F18*$B$3</f>
        <v>629.40774400000021</v>
      </c>
      <c r="G20" s="27">
        <f>G18*$B$3</f>
        <v>704.93667328000038</v>
      </c>
      <c r="H20" s="12" t="str">
        <f t="shared" ca="1" si="1"/>
        <v>=C18*$B$3</v>
      </c>
    </row>
    <row r="21" spans="1:8" x14ac:dyDescent="0.2">
      <c r="A21" t="s">
        <v>65</v>
      </c>
      <c r="B21" s="12">
        <v>-90</v>
      </c>
      <c r="C21" s="25">
        <f>-C18*$B$4</f>
        <v>-134.4</v>
      </c>
      <c r="D21" s="26">
        <f>-D18*$B$4</f>
        <v>-150.52799999999999</v>
      </c>
      <c r="E21" s="26">
        <f>-E18*$B$4</f>
        <v>-168.59136000000004</v>
      </c>
      <c r="F21" s="26">
        <f>-F18*$B$4</f>
        <v>-188.82232320000006</v>
      </c>
      <c r="G21" s="27">
        <f>-G18*$B$4</f>
        <v>-211.48100198400007</v>
      </c>
      <c r="H21" s="12" t="str">
        <f t="shared" ca="1" si="1"/>
        <v>=-C18*$B$4</v>
      </c>
    </row>
    <row r="22" spans="1:8" x14ac:dyDescent="0.2">
      <c r="A22" t="s">
        <v>62</v>
      </c>
      <c r="B22" s="12">
        <f t="shared" ref="B22:G22" si="2">B20+B21</f>
        <v>310</v>
      </c>
      <c r="C22" s="25">
        <f t="shared" si="2"/>
        <v>313.60000000000002</v>
      </c>
      <c r="D22" s="26">
        <f t="shared" si="2"/>
        <v>351.23200000000008</v>
      </c>
      <c r="E22" s="26">
        <f t="shared" si="2"/>
        <v>393.37984000000017</v>
      </c>
      <c r="F22" s="26">
        <f t="shared" si="2"/>
        <v>440.58542080000018</v>
      </c>
      <c r="G22" s="27">
        <f t="shared" si="2"/>
        <v>493.45567129600033</v>
      </c>
      <c r="H22" s="12" t="str">
        <f t="shared" ca="1" si="1"/>
        <v>=C20+C21</v>
      </c>
    </row>
    <row r="23" spans="1:8" x14ac:dyDescent="0.2">
      <c r="A23" t="s">
        <v>12</v>
      </c>
      <c r="B23" s="12">
        <v>-128.31</v>
      </c>
      <c r="C23" s="25">
        <f ca="1">-$B$9*(C39+B39)/2</f>
        <v>-117.40890688259111</v>
      </c>
      <c r="D23" s="26">
        <f ca="1">-$B$9*(D39+C39)/2</f>
        <v>-140.06733432772214</v>
      </c>
      <c r="E23" s="26">
        <f ca="1">-$B$9*(E39+D39)/2</f>
        <v>-166.34681081566052</v>
      </c>
      <c r="F23" s="26">
        <f ca="1">-$B$9*(F39+E39)/2</f>
        <v>-196.77681357358432</v>
      </c>
      <c r="G23" s="27">
        <f ca="1">-$B$9*(G39+F39)/2</f>
        <v>-231.96035197404262</v>
      </c>
      <c r="H23" s="12" t="str">
        <f t="shared" ca="1" si="1"/>
        <v>=-$B$9*(C39+B39)/2</v>
      </c>
    </row>
    <row r="24" spans="1:8" x14ac:dyDescent="0.2">
      <c r="A24" t="s">
        <v>30</v>
      </c>
      <c r="B24" s="12">
        <f t="shared" ref="B24:G24" si="3">B22+B23</f>
        <v>181.69</v>
      </c>
      <c r="C24" s="25">
        <f t="shared" ca="1" si="3"/>
        <v>196.19109311740891</v>
      </c>
      <c r="D24" s="26">
        <f t="shared" ca="1" si="3"/>
        <v>211.16466567227795</v>
      </c>
      <c r="E24" s="26">
        <f t="shared" ca="1" si="3"/>
        <v>227.03302918433965</v>
      </c>
      <c r="F24" s="26">
        <f t="shared" ca="1" si="3"/>
        <v>243.80860722641586</v>
      </c>
      <c r="G24" s="27">
        <f t="shared" ca="1" si="3"/>
        <v>261.49531932195771</v>
      </c>
      <c r="H24" s="12" t="str">
        <f t="shared" ca="1" si="1"/>
        <v>=C22+C23</v>
      </c>
    </row>
    <row r="25" spans="1:8" x14ac:dyDescent="0.2">
      <c r="A25" t="s">
        <v>10</v>
      </c>
      <c r="B25" s="12">
        <v>-38.589743589743584</v>
      </c>
      <c r="C25" s="25">
        <f ca="1">-$B$10*(B45+C45)/2</f>
        <v>-23.153846153846146</v>
      </c>
      <c r="D25" s="26">
        <f ca="1">-$B$10*(C45+D45)/2</f>
        <v>-23.153846153846146</v>
      </c>
      <c r="E25" s="26">
        <f ca="1">-$B$10*(D45+E45)/2</f>
        <v>-23.153846153846146</v>
      </c>
      <c r="F25" s="26">
        <f ca="1">-$B$10*(E45+F45)/2</f>
        <v>-24.040756333513066</v>
      </c>
      <c r="G25" s="27">
        <f ca="1">-$B$10*(F45+G45)/2</f>
        <v>-26.355177981724673</v>
      </c>
      <c r="H25" s="12" t="str">
        <f t="shared" ca="1" si="1"/>
        <v>=-$B$10*(B45+C45)/2</v>
      </c>
    </row>
    <row r="26" spans="1:8" x14ac:dyDescent="0.2">
      <c r="A26" t="s">
        <v>11</v>
      </c>
      <c r="B26" s="12">
        <v>6.4</v>
      </c>
      <c r="C26" s="25">
        <f ca="1">$B$11*(B34+C34)/2</f>
        <v>2.9736932655623853</v>
      </c>
      <c r="D26" s="26">
        <f ca="1">$B$11*(C34+D34)/2</f>
        <v>2.3057060897576345</v>
      </c>
      <c r="E26" s="26">
        <f ca="1">$B$11*(D34+E34)/2</f>
        <v>1.2862572426154431</v>
      </c>
      <c r="F26" s="26">
        <f ca="1">$B$11*(E34+F34)/2</f>
        <v>0.55424441842019412</v>
      </c>
      <c r="G26" s="27">
        <f ca="1">$B$11*(F34+G34)/2</f>
        <v>0.4</v>
      </c>
      <c r="H26" s="12" t="str">
        <f t="shared" ca="1" si="1"/>
        <v>=$B$11*(B34+C34)/2</v>
      </c>
    </row>
    <row r="27" spans="1:8" x14ac:dyDescent="0.2">
      <c r="A27" t="s">
        <v>31</v>
      </c>
      <c r="B27" s="12">
        <f t="shared" ref="B27:G27" si="4">B24+B25+B26</f>
        <v>149.50025641025641</v>
      </c>
      <c r="C27" s="25">
        <f t="shared" ca="1" si="4"/>
        <v>176.01094022912517</v>
      </c>
      <c r="D27" s="26">
        <f t="shared" ca="1" si="4"/>
        <v>190.31652560818941</v>
      </c>
      <c r="E27" s="26">
        <f t="shared" ca="1" si="4"/>
        <v>205.16544027310894</v>
      </c>
      <c r="F27" s="26">
        <f t="shared" ca="1" si="4"/>
        <v>220.32209531132298</v>
      </c>
      <c r="G27" s="27">
        <f t="shared" ca="1" si="4"/>
        <v>235.54014134023305</v>
      </c>
      <c r="H27" s="12" t="str">
        <f t="shared" ca="1" si="1"/>
        <v>=C24+C25+C26</v>
      </c>
    </row>
    <row r="28" spans="1:8" x14ac:dyDescent="0.2">
      <c r="A28" t="s">
        <v>13</v>
      </c>
      <c r="B28" s="12">
        <v>-68.36</v>
      </c>
      <c r="C28" s="25">
        <f ca="1">-C27*$B$12</f>
        <v>-35.202188045825032</v>
      </c>
      <c r="D28" s="26">
        <f ca="1">-D27*$B$12</f>
        <v>-38.063305121637882</v>
      </c>
      <c r="E28" s="26">
        <f ca="1">-E27*$B$12</f>
        <v>-41.033088054621793</v>
      </c>
      <c r="F28" s="26">
        <f ca="1">-F27*$B$12</f>
        <v>-44.064419062264598</v>
      </c>
      <c r="G28" s="27">
        <f ca="1">-G27*$B$12</f>
        <v>-47.10802826804661</v>
      </c>
      <c r="H28" s="12" t="str">
        <f t="shared" ca="1" si="1"/>
        <v>=-C27*$B$12</v>
      </c>
    </row>
    <row r="29" spans="1:8" x14ac:dyDescent="0.2">
      <c r="A29" t="s">
        <v>32</v>
      </c>
      <c r="B29" s="12">
        <f t="shared" ref="B29:G29" si="5">B28+B27</f>
        <v>81.140256410256413</v>
      </c>
      <c r="C29" s="25">
        <f t="shared" ca="1" si="5"/>
        <v>140.80875218330013</v>
      </c>
      <c r="D29" s="26">
        <f t="shared" ca="1" si="5"/>
        <v>152.25322048655153</v>
      </c>
      <c r="E29" s="26">
        <f t="shared" ca="1" si="5"/>
        <v>164.13235221848714</v>
      </c>
      <c r="F29" s="26">
        <f t="shared" ca="1" si="5"/>
        <v>176.25767624905839</v>
      </c>
      <c r="G29" s="27">
        <f t="shared" ca="1" si="5"/>
        <v>188.43211307218644</v>
      </c>
      <c r="H29" s="12" t="str">
        <f t="shared" ca="1" si="1"/>
        <v>=C28+C27</v>
      </c>
    </row>
    <row r="30" spans="1:8" x14ac:dyDescent="0.2">
      <c r="A30" t="s">
        <v>15</v>
      </c>
      <c r="B30" s="12">
        <v>-18.674461538461539</v>
      </c>
      <c r="C30" s="25">
        <f ca="1">-$B$13*C29</f>
        <v>-49.283063264155039</v>
      </c>
      <c r="D30" s="26">
        <f ca="1">-$B$13*D29</f>
        <v>-53.288627170293033</v>
      </c>
      <c r="E30" s="26">
        <f ca="1">-$B$13*E29</f>
        <v>-57.446323276470494</v>
      </c>
      <c r="F30" s="26">
        <f ca="1">-$B$13*F29</f>
        <v>-61.690186687170431</v>
      </c>
      <c r="G30" s="27">
        <f ca="1">-$B$13*G29</f>
        <v>-65.951239575265248</v>
      </c>
      <c r="H30" s="12" t="str">
        <f t="shared" ca="1" si="1"/>
        <v>=-$B$13*C29</v>
      </c>
    </row>
    <row r="31" spans="1:8" x14ac:dyDescent="0.2">
      <c r="A31" t="s">
        <v>16</v>
      </c>
      <c r="B31" s="12">
        <f t="shared" ref="B31:G31" si="6">B30+B29</f>
        <v>62.46579487179487</v>
      </c>
      <c r="C31" s="25">
        <f t="shared" ca="1" si="6"/>
        <v>91.525688919145097</v>
      </c>
      <c r="D31" s="26">
        <f t="shared" ca="1" si="6"/>
        <v>98.964593316258487</v>
      </c>
      <c r="E31" s="26">
        <f t="shared" ca="1" si="6"/>
        <v>106.68602894201665</v>
      </c>
      <c r="F31" s="26">
        <f t="shared" ca="1" si="6"/>
        <v>114.56748956188795</v>
      </c>
      <c r="G31" s="27">
        <f t="shared" ca="1" si="6"/>
        <v>122.48087349692119</v>
      </c>
      <c r="H31" s="12" t="str">
        <f t="shared" ca="1" si="1"/>
        <v>=C30+C29</v>
      </c>
    </row>
    <row r="32" spans="1:8" x14ac:dyDescent="0.2">
      <c r="B32" s="12"/>
      <c r="C32" s="25"/>
      <c r="D32" s="26"/>
      <c r="E32" s="26"/>
      <c r="F32" s="26"/>
      <c r="G32" s="27"/>
      <c r="H32" s="12"/>
    </row>
    <row r="33" spans="1:8" x14ac:dyDescent="0.2">
      <c r="A33" s="4" t="s">
        <v>17</v>
      </c>
      <c r="B33" s="12"/>
      <c r="C33" s="25"/>
      <c r="D33" s="26"/>
      <c r="E33" s="26"/>
      <c r="F33" s="26"/>
      <c r="G33" s="27"/>
      <c r="H33" s="12"/>
    </row>
    <row r="34" spans="1:8" x14ac:dyDescent="0.2">
      <c r="A34" s="6" t="s">
        <v>18</v>
      </c>
      <c r="B34" s="12">
        <v>80</v>
      </c>
      <c r="C34" s="59">
        <f ca="1">C48-C35-C36-C41</f>
        <v>68.684663278119274</v>
      </c>
      <c r="D34" s="26">
        <f ca="1">D48-D35-D36-D41</f>
        <v>46.600641209762443</v>
      </c>
      <c r="E34" s="26">
        <f ca="1">E48-E35-E36-E41</f>
        <v>17.712220921009703</v>
      </c>
      <c r="F34" s="60">
        <f ca="1">F48-F35-F36-F41</f>
        <v>10</v>
      </c>
      <c r="G34" s="61">
        <f ca="1">G48-G35-G36-G41</f>
        <v>10</v>
      </c>
      <c r="H34" s="12" t="str">
        <f t="shared" ca="1" si="1"/>
        <v>=C48-C35-C36-C41</v>
      </c>
    </row>
    <row r="35" spans="1:8" x14ac:dyDescent="0.2">
      <c r="A35" s="6" t="s">
        <v>34</v>
      </c>
      <c r="B35" s="12">
        <v>100</v>
      </c>
      <c r="C35" s="25">
        <f>C18/$B$5</f>
        <v>112</v>
      </c>
      <c r="D35" s="26">
        <f>D18/$B$5</f>
        <v>125.44000000000001</v>
      </c>
      <c r="E35" s="26">
        <f>E18/$B$5</f>
        <v>140.49280000000005</v>
      </c>
      <c r="F35" s="26">
        <f>F18/$B$5</f>
        <v>157.35193600000005</v>
      </c>
      <c r="G35" s="27">
        <f>G18/$B$5</f>
        <v>176.23416832000007</v>
      </c>
      <c r="H35" s="12" t="str">
        <f t="shared" ca="1" si="1"/>
        <v>=C18/$B$5</v>
      </c>
    </row>
    <row r="36" spans="1:8" x14ac:dyDescent="0.2">
      <c r="A36" s="6" t="s">
        <v>33</v>
      </c>
      <c r="B36" s="12">
        <v>116.66666666666667</v>
      </c>
      <c r="C36" s="25">
        <f>-C19/$B$6</f>
        <v>112</v>
      </c>
      <c r="D36" s="26">
        <f>-D19/$B$6</f>
        <v>125.44000000000001</v>
      </c>
      <c r="E36" s="26">
        <f>-E19/$B$6</f>
        <v>140.49280000000002</v>
      </c>
      <c r="F36" s="26">
        <f>-F19/$B$6</f>
        <v>157.35193600000005</v>
      </c>
      <c r="G36" s="27">
        <f>-G19/$B$6</f>
        <v>176.23416832000007</v>
      </c>
      <c r="H36" s="12" t="str">
        <f t="shared" ca="1" si="1"/>
        <v>=-C19/$B$6</v>
      </c>
    </row>
    <row r="37" spans="1:8" x14ac:dyDescent="0.2">
      <c r="A37" t="s">
        <v>19</v>
      </c>
      <c r="B37" s="12">
        <f t="shared" ref="B37:G37" si="7">B34+B35+B36</f>
        <v>296.66666666666669</v>
      </c>
      <c r="C37" s="25">
        <f t="shared" ca="1" si="7"/>
        <v>292.68466327811927</v>
      </c>
      <c r="D37" s="26">
        <f t="shared" ca="1" si="7"/>
        <v>297.48064120976244</v>
      </c>
      <c r="E37" s="26">
        <f t="shared" ca="1" si="7"/>
        <v>298.69782092100979</v>
      </c>
      <c r="F37" s="26">
        <f t="shared" ca="1" si="7"/>
        <v>324.7038720000001</v>
      </c>
      <c r="G37" s="27">
        <f t="shared" ca="1" si="7"/>
        <v>362.46833664000013</v>
      </c>
      <c r="H37" s="12" t="str">
        <f t="shared" ca="1" si="1"/>
        <v>=C34+C35+C36</v>
      </c>
    </row>
    <row r="38" spans="1:8" x14ac:dyDescent="0.2">
      <c r="A38" t="s">
        <v>20</v>
      </c>
      <c r="B38" s="12"/>
      <c r="C38" s="25"/>
      <c r="D38" s="26"/>
      <c r="E38" s="26"/>
      <c r="F38" s="26"/>
      <c r="G38" s="27"/>
      <c r="H38" s="12"/>
    </row>
    <row r="39" spans="1:8" x14ac:dyDescent="0.2">
      <c r="A39" t="s">
        <v>21</v>
      </c>
      <c r="B39" s="12">
        <v>1069.2307692307691</v>
      </c>
      <c r="C39" s="25">
        <f ca="1">C41-C40</f>
        <v>1278.9473684210527</v>
      </c>
      <c r="D39" s="26">
        <f ca="1">D41-D40</f>
        <v>1522.3993181333901</v>
      </c>
      <c r="E39" s="26">
        <f ca="1">E41-E40</f>
        <v>1804.5368981798201</v>
      </c>
      <c r="F39" s="26">
        <f ca="1">F41-F40</f>
        <v>2130.999373291866</v>
      </c>
      <c r="G39" s="27">
        <f ca="1">G41-G40</f>
        <v>2508.207666188986</v>
      </c>
      <c r="H39" s="12" t="str">
        <f t="shared" ca="1" si="1"/>
        <v>=C41-C40</v>
      </c>
    </row>
    <row r="40" spans="1:8" x14ac:dyDescent="0.2">
      <c r="A40" t="s">
        <v>35</v>
      </c>
      <c r="B40" s="12">
        <v>-300</v>
      </c>
      <c r="C40" s="25">
        <f ca="1">B40+C23</f>
        <v>-417.40890688259111</v>
      </c>
      <c r="D40" s="26">
        <f ca="1">C40+D23</f>
        <v>-557.47624121031322</v>
      </c>
      <c r="E40" s="26">
        <f ca="1">D40+E23</f>
        <v>-723.82305202597377</v>
      </c>
      <c r="F40" s="26">
        <f ca="1">E40+F23</f>
        <v>-920.59986559955814</v>
      </c>
      <c r="G40" s="27">
        <f ca="1">F40+G23</f>
        <v>-1152.5602175736008</v>
      </c>
      <c r="H40" s="12" t="str">
        <f t="shared" ca="1" si="1"/>
        <v>=B40+C23</v>
      </c>
    </row>
    <row r="41" spans="1:8" x14ac:dyDescent="0.2">
      <c r="A41" t="s">
        <v>22</v>
      </c>
      <c r="B41" s="12">
        <v>769.23076923076917</v>
      </c>
      <c r="C41" s="25">
        <f>C18/$B$8</f>
        <v>861.53846153846155</v>
      </c>
      <c r="D41" s="26">
        <f>D18/$B$8</f>
        <v>964.92307692307691</v>
      </c>
      <c r="E41" s="26">
        <f>E18/$B$8</f>
        <v>1080.7138461538464</v>
      </c>
      <c r="F41" s="26">
        <f>F18/$B$8</f>
        <v>1210.3995076923079</v>
      </c>
      <c r="G41" s="27">
        <f>G18/$B$8</f>
        <v>1355.6474486153852</v>
      </c>
      <c r="H41" s="12" t="str">
        <f t="shared" ca="1" si="1"/>
        <v>=C18/$B$8</v>
      </c>
    </row>
    <row r="42" spans="1:8" x14ac:dyDescent="0.2">
      <c r="A42" s="4" t="s">
        <v>23</v>
      </c>
      <c r="B42" s="12">
        <f t="shared" ref="B42:G42" si="8">B41+B37</f>
        <v>1065.8974358974358</v>
      </c>
      <c r="C42" s="25">
        <f t="shared" ca="1" si="8"/>
        <v>1154.2231248165808</v>
      </c>
      <c r="D42" s="26">
        <f t="shared" ca="1" si="8"/>
        <v>1262.4037181328395</v>
      </c>
      <c r="E42" s="26">
        <f t="shared" ca="1" si="8"/>
        <v>1379.4116670748563</v>
      </c>
      <c r="F42" s="26">
        <f t="shared" ca="1" si="8"/>
        <v>1535.103379692308</v>
      </c>
      <c r="G42" s="27">
        <f t="shared" ca="1" si="8"/>
        <v>1718.1157852553854</v>
      </c>
      <c r="H42" s="12" t="str">
        <f t="shared" ca="1" si="1"/>
        <v>=C41+C37</v>
      </c>
    </row>
    <row r="43" spans="1:8" x14ac:dyDescent="0.2">
      <c r="B43" s="12"/>
      <c r="C43" s="25"/>
      <c r="D43" s="26"/>
      <c r="E43" s="26"/>
      <c r="F43" s="26"/>
      <c r="G43" s="27"/>
      <c r="H43" s="12"/>
    </row>
    <row r="44" spans="1:8" x14ac:dyDescent="0.2">
      <c r="A44" t="s">
        <v>24</v>
      </c>
      <c r="B44" s="12">
        <v>80</v>
      </c>
      <c r="C44" s="25">
        <f>-C19/$B$7</f>
        <v>76.8</v>
      </c>
      <c r="D44" s="26">
        <f>-D19/$B$7</f>
        <v>86.016000000000005</v>
      </c>
      <c r="E44" s="26">
        <f>-E19/$B$7</f>
        <v>96.337920000000011</v>
      </c>
      <c r="F44" s="26">
        <f>-F19/$B$7</f>
        <v>107.89847040000002</v>
      </c>
      <c r="G44" s="27">
        <f>-G19/$B$7</f>
        <v>120.84628684800003</v>
      </c>
      <c r="H44" s="12" t="str">
        <f t="shared" ca="1" si="1"/>
        <v>=-C19/$B$7</v>
      </c>
    </row>
    <row r="45" spans="1:8" x14ac:dyDescent="0.2">
      <c r="A45" t="s">
        <v>25</v>
      </c>
      <c r="B45" s="12">
        <v>385.8974358974358</v>
      </c>
      <c r="C45" s="76">
        <f ca="1">MAX(C35+C36+C41+$B$14-C44-C47-C46,B45)</f>
        <v>385.8974358974358</v>
      </c>
      <c r="D45" s="26">
        <f ca="1">MAX(D35+D36+D41+$B$14-D44-D47-D46,C45)</f>
        <v>385.8974358974358</v>
      </c>
      <c r="E45" s="26">
        <f ca="1">MAX(E35+E36+E41+$B$14-E44-E47-E46,D45)</f>
        <v>385.8974358974358</v>
      </c>
      <c r="F45" s="26">
        <f ca="1">MAX(F35+F36+F41+$B$14-F44-F47-F46,E45)</f>
        <v>415.4611085529998</v>
      </c>
      <c r="G45" s="27">
        <f ca="1">MAX(G35+G36+G41+$B$14-G44-G47-G46,F45)</f>
        <v>463.04482417115594</v>
      </c>
      <c r="H45" s="93" t="str">
        <f t="shared" ca="1" si="1"/>
        <v>=MAX(C35+C36+C41+$B$14-C44-C47-C46,B45)</v>
      </c>
    </row>
    <row r="46" spans="1:8" x14ac:dyDescent="0.2">
      <c r="A46" t="s">
        <v>26</v>
      </c>
      <c r="B46" s="12">
        <v>450</v>
      </c>
      <c r="C46" s="25">
        <f>B46</f>
        <v>450</v>
      </c>
      <c r="D46" s="26">
        <f t="shared" ref="D46:G46" si="9">C46</f>
        <v>450</v>
      </c>
      <c r="E46" s="26">
        <f t="shared" si="9"/>
        <v>450</v>
      </c>
      <c r="F46" s="26">
        <f t="shared" si="9"/>
        <v>450</v>
      </c>
      <c r="G46" s="27">
        <f t="shared" si="9"/>
        <v>450</v>
      </c>
      <c r="H46" s="12" t="str">
        <f t="shared" ca="1" si="1"/>
        <v>=B46</v>
      </c>
    </row>
    <row r="47" spans="1:8" x14ac:dyDescent="0.2">
      <c r="A47" t="s">
        <v>27</v>
      </c>
      <c r="B47" s="12">
        <v>150</v>
      </c>
      <c r="C47" s="25">
        <f ca="1">B47+C31</f>
        <v>241.5256889191451</v>
      </c>
      <c r="D47" s="26">
        <f ca="1">C47+D31</f>
        <v>340.49028223540358</v>
      </c>
      <c r="E47" s="26">
        <f ca="1">D47+E31</f>
        <v>447.17631117742025</v>
      </c>
      <c r="F47" s="26">
        <f ca="1">E47+F31</f>
        <v>561.7438007393082</v>
      </c>
      <c r="G47" s="27">
        <f ca="1">F47+G31</f>
        <v>684.22467423622936</v>
      </c>
      <c r="H47" s="12" t="str">
        <f t="shared" ca="1" si="1"/>
        <v>=B47+C31</v>
      </c>
    </row>
    <row r="48" spans="1:8" ht="16" thickBot="1" x14ac:dyDescent="0.25">
      <c r="A48" s="4" t="s">
        <v>28</v>
      </c>
      <c r="B48" s="12">
        <f t="shared" ref="B48:G48" si="10">SUM(B44:B47)</f>
        <v>1065.8974358974358</v>
      </c>
      <c r="C48" s="28">
        <f t="shared" ca="1" si="10"/>
        <v>1154.2231248165808</v>
      </c>
      <c r="D48" s="29">
        <f t="shared" ca="1" si="10"/>
        <v>1262.4037181328395</v>
      </c>
      <c r="E48" s="29">
        <f t="shared" ca="1" si="10"/>
        <v>1379.411667074856</v>
      </c>
      <c r="F48" s="29">
        <f t="shared" ca="1" si="10"/>
        <v>1535.103379692308</v>
      </c>
      <c r="G48" s="30">
        <f t="shared" ca="1" si="10"/>
        <v>1718.1157852553852</v>
      </c>
      <c r="H48" s="12" t="str">
        <f t="shared" ca="1" si="1"/>
        <v>=SUM(C44:C47)</v>
      </c>
    </row>
    <row r="49" spans="1:8" x14ac:dyDescent="0.2">
      <c r="H49" s="12"/>
    </row>
    <row r="50" spans="1:8" s="4" customFormat="1" x14ac:dyDescent="0.2">
      <c r="A50" s="7" t="s">
        <v>6</v>
      </c>
      <c r="B50" s="8">
        <v>0</v>
      </c>
      <c r="C50" s="8">
        <v>1</v>
      </c>
      <c r="D50" s="8">
        <v>2</v>
      </c>
      <c r="E50" s="8">
        <v>3</v>
      </c>
      <c r="F50" s="8">
        <v>4</v>
      </c>
      <c r="G50" s="8">
        <v>5</v>
      </c>
      <c r="H50" s="12"/>
    </row>
    <row r="51" spans="1:8" s="4" customFormat="1" ht="16" thickBot="1" x14ac:dyDescent="0.25">
      <c r="A51" s="7" t="s">
        <v>41</v>
      </c>
      <c r="B51" s="8"/>
      <c r="C51" s="8"/>
      <c r="D51" s="8"/>
      <c r="E51" s="8"/>
      <c r="F51" s="8"/>
      <c r="G51" s="8"/>
      <c r="H51" s="12"/>
    </row>
    <row r="52" spans="1:8" x14ac:dyDescent="0.2">
      <c r="A52" s="9" t="s">
        <v>14</v>
      </c>
      <c r="B52" s="9"/>
      <c r="C52" s="43">
        <f ca="1">C29</f>
        <v>140.80875218330013</v>
      </c>
      <c r="D52" s="44">
        <f ca="1">D29</f>
        <v>152.25322048655153</v>
      </c>
      <c r="E52" s="44">
        <f ca="1">E29</f>
        <v>164.13235221848714</v>
      </c>
      <c r="F52" s="44">
        <f ca="1">F29</f>
        <v>176.25767624905839</v>
      </c>
      <c r="G52" s="45">
        <f ca="1">G29</f>
        <v>188.43211307218644</v>
      </c>
      <c r="H52" s="12" t="str">
        <f t="shared" ca="1" si="1"/>
        <v>=C29</v>
      </c>
    </row>
    <row r="53" spans="1:8" x14ac:dyDescent="0.2">
      <c r="A53" s="9" t="s">
        <v>42</v>
      </c>
      <c r="B53" s="9"/>
      <c r="C53" s="46">
        <f ca="1">-C23</f>
        <v>117.40890688259111</v>
      </c>
      <c r="D53" s="9">
        <f ca="1">-D23</f>
        <v>140.06733432772214</v>
      </c>
      <c r="E53" s="9">
        <f ca="1">-E23</f>
        <v>166.34681081566052</v>
      </c>
      <c r="F53" s="9">
        <f ca="1">-F23</f>
        <v>196.77681357358432</v>
      </c>
      <c r="G53" s="47">
        <f ca="1">-G23</f>
        <v>231.96035197404262</v>
      </c>
      <c r="H53" s="12" t="str">
        <f t="shared" ca="1" si="1"/>
        <v>=-C23</v>
      </c>
    </row>
    <row r="54" spans="1:8" x14ac:dyDescent="0.2">
      <c r="A54" s="9" t="s">
        <v>43</v>
      </c>
      <c r="B54" s="9"/>
      <c r="C54" s="46">
        <f ca="1">-(C37-B37)</f>
        <v>3.9820033885474118</v>
      </c>
      <c r="D54" s="9">
        <f ca="1">-(D37-C37)</f>
        <v>-4.795977931643165</v>
      </c>
      <c r="E54" s="9">
        <f ca="1">-(E37-D37)</f>
        <v>-1.2171797112473541</v>
      </c>
      <c r="F54" s="9">
        <f ca="1">-(F37-E37)</f>
        <v>-26.006051078990311</v>
      </c>
      <c r="G54" s="47">
        <f ca="1">-(G37-F37)</f>
        <v>-37.764464640000028</v>
      </c>
      <c r="H54" s="12" t="str">
        <f t="shared" ca="1" si="1"/>
        <v>=-(C37-B37)</v>
      </c>
    </row>
    <row r="55" spans="1:8" x14ac:dyDescent="0.2">
      <c r="A55" s="9" t="s">
        <v>44</v>
      </c>
      <c r="B55" s="9"/>
      <c r="C55" s="46">
        <f>C44-B44</f>
        <v>-3.2000000000000028</v>
      </c>
      <c r="D55" s="9">
        <f>D44-C44</f>
        <v>9.2160000000000082</v>
      </c>
      <c r="E55" s="9">
        <f>E44-D44</f>
        <v>10.321920000000006</v>
      </c>
      <c r="F55" s="9">
        <f>F44-E44</f>
        <v>11.560550400000011</v>
      </c>
      <c r="G55" s="47">
        <f>G44-F44</f>
        <v>12.947816448000012</v>
      </c>
      <c r="H55" s="12" t="str">
        <f t="shared" ca="1" si="1"/>
        <v>=C44-B44</v>
      </c>
    </row>
    <row r="56" spans="1:8" x14ac:dyDescent="0.2">
      <c r="A56" s="9" t="s">
        <v>45</v>
      </c>
      <c r="B56" s="9"/>
      <c r="C56" s="46">
        <f ca="1">-(C39-B39)</f>
        <v>-209.71659919028366</v>
      </c>
      <c r="D56" s="9">
        <f ca="1">-(D39-C39)</f>
        <v>-243.45194971233741</v>
      </c>
      <c r="E56" s="9">
        <f ca="1">-(E39-D39)</f>
        <v>-282.13758004643</v>
      </c>
      <c r="F56" s="9">
        <f ca="1">-(F39-E39)</f>
        <v>-326.46247511204592</v>
      </c>
      <c r="G56" s="47">
        <f ca="1">-(G39-F39)</f>
        <v>-377.20829289711992</v>
      </c>
      <c r="H56" s="12" t="str">
        <f t="shared" ca="1" si="1"/>
        <v>=-(C39-B39)</v>
      </c>
    </row>
    <row r="57" spans="1:8" x14ac:dyDescent="0.2">
      <c r="A57" s="9" t="s">
        <v>46</v>
      </c>
      <c r="B57" s="9"/>
      <c r="C57" s="46">
        <f t="shared" ref="C57:G58" ca="1" si="11">-(1-$B$12)*C25</f>
        <v>18.523076923076918</v>
      </c>
      <c r="D57" s="9">
        <f t="shared" ca="1" si="11"/>
        <v>18.523076923076918</v>
      </c>
      <c r="E57" s="9">
        <f t="shared" ca="1" si="11"/>
        <v>18.523076923076918</v>
      </c>
      <c r="F57" s="9">
        <f t="shared" ca="1" si="11"/>
        <v>19.232605066810454</v>
      </c>
      <c r="G57" s="47">
        <f t="shared" ca="1" si="11"/>
        <v>21.084142385379739</v>
      </c>
      <c r="H57" s="12" t="str">
        <f t="shared" ca="1" si="1"/>
        <v>=-(1-$B$12)*C25</v>
      </c>
    </row>
    <row r="58" spans="1:8" x14ac:dyDescent="0.2">
      <c r="A58" s="9" t="s">
        <v>47</v>
      </c>
      <c r="B58" s="9"/>
      <c r="C58" s="46">
        <f t="shared" ca="1" si="11"/>
        <v>-2.3789546124499084</v>
      </c>
      <c r="D58" s="9">
        <f t="shared" ca="1" si="11"/>
        <v>-1.8445648718061076</v>
      </c>
      <c r="E58" s="9">
        <f t="shared" ca="1" si="11"/>
        <v>-1.0290057940923545</v>
      </c>
      <c r="F58" s="9">
        <f t="shared" ca="1" si="11"/>
        <v>-0.44339553473615534</v>
      </c>
      <c r="G58" s="47">
        <f t="shared" ca="1" si="11"/>
        <v>-0.32000000000000006</v>
      </c>
      <c r="H58" s="12" t="str">
        <f t="shared" ca="1" si="1"/>
        <v>=-(1-$B$12)*C26</v>
      </c>
    </row>
    <row r="59" spans="1:8" ht="16" thickBot="1" x14ac:dyDescent="0.25">
      <c r="A59" s="7" t="s">
        <v>48</v>
      </c>
      <c r="B59" s="9"/>
      <c r="C59" s="48">
        <f ca="1">SUM(C52:C58)</f>
        <v>65.427185574781987</v>
      </c>
      <c r="D59" s="34">
        <f ca="1">SUM(D52:D58)</f>
        <v>69.967139221563926</v>
      </c>
      <c r="E59" s="34">
        <f ca="1">SUM(E52:E58)</f>
        <v>74.940394405454811</v>
      </c>
      <c r="F59" s="34">
        <f ca="1">SUM(F52:F58)</f>
        <v>50.915723563680814</v>
      </c>
      <c r="G59" s="49">
        <f ca="1">SUM(G52:G58)</f>
        <v>39.131666342488877</v>
      </c>
      <c r="H59" s="12" t="str">
        <f t="shared" ca="1" si="1"/>
        <v>=SUM(C52:C58)</v>
      </c>
    </row>
    <row r="60" spans="1:8" x14ac:dyDescent="0.2">
      <c r="H60" s="12"/>
    </row>
    <row r="61" spans="1:8" ht="18" x14ac:dyDescent="0.2">
      <c r="A61" s="10" t="s">
        <v>59</v>
      </c>
      <c r="H61" s="12"/>
    </row>
    <row r="62" spans="1:8" s="6" customFormat="1" x14ac:dyDescent="0.2">
      <c r="A62" s="6" t="s">
        <v>49</v>
      </c>
      <c r="B62" s="11">
        <v>0.2</v>
      </c>
      <c r="H62" s="12"/>
    </row>
    <row r="63" spans="1:8" s="6" customFormat="1" x14ac:dyDescent="0.2">
      <c r="A63" s="6" t="s">
        <v>50</v>
      </c>
      <c r="B63" s="11">
        <v>0.05</v>
      </c>
      <c r="C63" s="6" t="s">
        <v>51</v>
      </c>
      <c r="H63" s="12"/>
    </row>
    <row r="64" spans="1:8" x14ac:dyDescent="0.2">
      <c r="A64" s="6"/>
      <c r="H64" s="12"/>
    </row>
    <row r="65" spans="1:8" s="4" customFormat="1" ht="16" thickBot="1" x14ac:dyDescent="0.25">
      <c r="A65" s="7" t="s">
        <v>6</v>
      </c>
      <c r="B65" s="8">
        <v>0</v>
      </c>
      <c r="C65" s="8">
        <v>1</v>
      </c>
      <c r="D65" s="8">
        <v>2</v>
      </c>
      <c r="E65" s="8">
        <v>3</v>
      </c>
      <c r="F65" s="8">
        <v>4</v>
      </c>
      <c r="G65" s="8">
        <v>5</v>
      </c>
      <c r="H65" s="12"/>
    </row>
    <row r="66" spans="1:8" x14ac:dyDescent="0.2">
      <c r="A66" t="s">
        <v>52</v>
      </c>
      <c r="C66" s="43">
        <f ca="1">C59</f>
        <v>65.427185574781987</v>
      </c>
      <c r="D66" s="44">
        <f ca="1">D59</f>
        <v>69.967139221563926</v>
      </c>
      <c r="E66" s="44">
        <f ca="1">E59</f>
        <v>74.940394405454811</v>
      </c>
      <c r="F66" s="44">
        <f ca="1">F59</f>
        <v>50.915723563680814</v>
      </c>
      <c r="G66" s="50">
        <f ca="1">G59</f>
        <v>39.131666342488877</v>
      </c>
      <c r="H66" s="12" t="str">
        <f t="shared" ca="1" si="1"/>
        <v>=C59</v>
      </c>
    </row>
    <row r="67" spans="1:8" x14ac:dyDescent="0.2">
      <c r="A67" t="s">
        <v>53</v>
      </c>
      <c r="C67" s="18"/>
      <c r="G67" s="51">
        <f ca="1">G66*(1+B63)/(B62-B63)</f>
        <v>273.92166439742215</v>
      </c>
      <c r="H67" s="12" t="str">
        <f ca="1">_xlfn.FORMULATEXT(G67)</f>
        <v>=G66*(1+B63)/(B62-B63)</v>
      </c>
    </row>
    <row r="68" spans="1:8" ht="16" thickBot="1" x14ac:dyDescent="0.25">
      <c r="A68" t="s">
        <v>54</v>
      </c>
      <c r="C68" s="48">
        <f ca="1">C67+C66</f>
        <v>65.427185574781987</v>
      </c>
      <c r="D68" s="34">
        <f ca="1">D67+D66</f>
        <v>69.967139221563926</v>
      </c>
      <c r="E68" s="34">
        <f ca="1">E67+E66</f>
        <v>74.940394405454811</v>
      </c>
      <c r="F68" s="34">
        <f ca="1">F67+F66</f>
        <v>50.915723563680814</v>
      </c>
      <c r="G68" s="52">
        <f ca="1">G67+G66</f>
        <v>313.05333073991102</v>
      </c>
      <c r="H68" s="12" t="str">
        <f t="shared" ca="1" si="1"/>
        <v>=C67+C66</v>
      </c>
    </row>
    <row r="69" spans="1:8" ht="16" thickBot="1" x14ac:dyDescent="0.25"/>
    <row r="70" spans="1:8" x14ac:dyDescent="0.2">
      <c r="A70" t="str">
        <f>"Enterprise value"</f>
        <v>Enterprise value</v>
      </c>
      <c r="B70" s="53">
        <f ca="1">NPV(B62,C68:G68)*(1+B62)^0.5</f>
        <v>325.17478362978602</v>
      </c>
      <c r="C70" s="12" t="str">
        <f ca="1">_xlfn.FORMULATEXT(B70)</f>
        <v>=NPV(B62,C68:G68)*(1+B62)^0.5</v>
      </c>
    </row>
    <row r="71" spans="1:8" x14ac:dyDescent="0.2">
      <c r="A71" t="s">
        <v>55</v>
      </c>
      <c r="B71" s="54">
        <f>B34</f>
        <v>80</v>
      </c>
      <c r="C71" s="12" t="str">
        <f t="shared" ref="C71:C77" ca="1" si="12">_xlfn.FORMULATEXT(B71)</f>
        <v>=B34</v>
      </c>
    </row>
    <row r="72" spans="1:8" x14ac:dyDescent="0.2">
      <c r="A72" t="s">
        <v>56</v>
      </c>
      <c r="B72" s="54">
        <f ca="1">B71+B70</f>
        <v>405.17478362978602</v>
      </c>
      <c r="C72" s="12" t="str">
        <f t="shared" ca="1" si="12"/>
        <v>=B71+B70</v>
      </c>
    </row>
    <row r="73" spans="1:8" x14ac:dyDescent="0.2">
      <c r="A73" t="s">
        <v>57</v>
      </c>
      <c r="B73" s="54">
        <f>-B45</f>
        <v>-385.8974358974358</v>
      </c>
      <c r="C73" s="12" t="str">
        <f t="shared" ca="1" si="12"/>
        <v>=-B45</v>
      </c>
      <c r="H73" t="s">
        <v>86</v>
      </c>
    </row>
    <row r="74" spans="1:8" x14ac:dyDescent="0.2">
      <c r="A74" t="s">
        <v>68</v>
      </c>
      <c r="B74" s="54">
        <v>0</v>
      </c>
      <c r="C74" s="12"/>
    </row>
    <row r="75" spans="1:8" x14ac:dyDescent="0.2">
      <c r="A75" t="s">
        <v>58</v>
      </c>
      <c r="B75" s="54">
        <f ca="1">B72+B73</f>
        <v>19.277347732350222</v>
      </c>
      <c r="C75" s="12" t="str">
        <f t="shared" ca="1" si="12"/>
        <v>=B72+B73</v>
      </c>
    </row>
    <row r="76" spans="1:8" x14ac:dyDescent="0.2">
      <c r="A76" t="s">
        <v>60</v>
      </c>
      <c r="B76" s="55">
        <v>100</v>
      </c>
      <c r="C76" s="12"/>
    </row>
    <row r="77" spans="1:8" ht="16" thickBot="1" x14ac:dyDescent="0.25">
      <c r="A77" t="s">
        <v>61</v>
      </c>
      <c r="B77" s="56">
        <f ca="1">B75/B76</f>
        <v>0.19277347732350222</v>
      </c>
      <c r="C77" s="12" t="str">
        <f t="shared" ca="1" si="12"/>
        <v>=B75/B76</v>
      </c>
    </row>
    <row r="78" spans="1:8" ht="16" thickBot="1" x14ac:dyDescent="0.25"/>
    <row r="79" spans="1:8" ht="16" thickBot="1" x14ac:dyDescent="0.25">
      <c r="A79" t="s">
        <v>39</v>
      </c>
      <c r="B79" s="3">
        <v>0.43709405821505887</v>
      </c>
      <c r="C79" s="31">
        <f ca="1">(C44+C45)/C42</f>
        <v>0.40087347580301141</v>
      </c>
      <c r="D79" s="32">
        <f ca="1">(D44+D45)/D42</f>
        <v>0.37382132919841227</v>
      </c>
      <c r="E79" s="32">
        <f ca="1">(E44+E45)/E42</f>
        <v>0.34959495225964798</v>
      </c>
      <c r="F79" s="32">
        <f ca="1">(F44+F45)/F42</f>
        <v>0.3409279048411063</v>
      </c>
      <c r="G79" s="33">
        <f ca="1">(G44+G45)/G42</f>
        <v>0.33984386618761248</v>
      </c>
      <c r="H79" s="12" t="str">
        <f t="shared" ref="H79" ca="1" si="13">_xlfn.FORMULATEXT(C79)</f>
        <v>=(C44+C45)/C42</v>
      </c>
    </row>
  </sheetData>
  <printOptions headings="1" gridLines="1"/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I112"/>
  <sheetViews>
    <sheetView topLeftCell="A52" workbookViewId="0">
      <selection activeCell="K99" sqref="K99"/>
    </sheetView>
  </sheetViews>
  <sheetFormatPr baseColWidth="10" defaultColWidth="8.83203125" defaultRowHeight="15" x14ac:dyDescent="0.2"/>
  <cols>
    <col min="1" max="1" width="21.5" customWidth="1"/>
    <col min="2" max="2" width="11.33203125" bestFit="1" customWidth="1"/>
    <col min="3" max="3" width="9" bestFit="1" customWidth="1"/>
    <col min="4" max="4" width="11.1640625" customWidth="1"/>
    <col min="5" max="6" width="9.5" bestFit="1" customWidth="1"/>
    <col min="7" max="7" width="10.33203125" bestFit="1" customWidth="1"/>
    <col min="8" max="8" width="24.83203125" customWidth="1"/>
  </cols>
  <sheetData>
    <row r="1" spans="1:9" ht="18" x14ac:dyDescent="0.2">
      <c r="A1" s="94" t="s">
        <v>83</v>
      </c>
      <c r="B1" s="94"/>
      <c r="C1" s="94"/>
      <c r="D1" s="94"/>
      <c r="E1" s="1"/>
      <c r="F1" s="1"/>
    </row>
    <row r="2" spans="1:9" x14ac:dyDescent="0.2">
      <c r="I2" s="2"/>
    </row>
    <row r="3" spans="1:9" x14ac:dyDescent="0.2">
      <c r="A3" t="s">
        <v>71</v>
      </c>
      <c r="B3" s="2">
        <v>0.45</v>
      </c>
      <c r="I3" s="2"/>
    </row>
    <row r="4" spans="1:9" x14ac:dyDescent="0.2">
      <c r="A4" t="s">
        <v>66</v>
      </c>
      <c r="B4" s="2">
        <v>0.09</v>
      </c>
      <c r="I4" s="2"/>
    </row>
    <row r="5" spans="1:9" x14ac:dyDescent="0.2">
      <c r="A5" t="s">
        <v>63</v>
      </c>
      <c r="B5">
        <v>10</v>
      </c>
    </row>
    <row r="6" spans="1:9" x14ac:dyDescent="0.2">
      <c r="A6" t="s">
        <v>84</v>
      </c>
      <c r="B6">
        <v>6</v>
      </c>
    </row>
    <row r="7" spans="1:9" x14ac:dyDescent="0.2">
      <c r="A7" t="s">
        <v>85</v>
      </c>
      <c r="B7">
        <v>8.75</v>
      </c>
    </row>
    <row r="8" spans="1:9" x14ac:dyDescent="0.2">
      <c r="A8" t="s">
        <v>64</v>
      </c>
      <c r="B8">
        <v>1.3</v>
      </c>
    </row>
    <row r="9" spans="1:9" x14ac:dyDescent="0.2">
      <c r="A9" t="s">
        <v>1</v>
      </c>
      <c r="B9" s="2">
        <v>0.1</v>
      </c>
      <c r="I9" s="2"/>
    </row>
    <row r="10" spans="1:9" x14ac:dyDescent="0.2">
      <c r="A10" t="s">
        <v>2</v>
      </c>
      <c r="B10" s="3">
        <v>0.1</v>
      </c>
      <c r="I10" s="3"/>
    </row>
    <row r="11" spans="1:9" x14ac:dyDescent="0.2">
      <c r="A11" t="s">
        <v>3</v>
      </c>
      <c r="B11" s="3">
        <v>0.08</v>
      </c>
      <c r="I11" s="3"/>
    </row>
    <row r="12" spans="1:9" x14ac:dyDescent="0.2">
      <c r="A12" t="s">
        <v>4</v>
      </c>
      <c r="B12" s="2">
        <v>0.4</v>
      </c>
      <c r="I12" s="2"/>
    </row>
    <row r="13" spans="1:9" x14ac:dyDescent="0.2">
      <c r="A13" t="s">
        <v>5</v>
      </c>
      <c r="B13" s="2">
        <v>0.4</v>
      </c>
      <c r="I13" s="2"/>
    </row>
    <row r="14" spans="1:9" s="4" customFormat="1" x14ac:dyDescent="0.2">
      <c r="A14" t="s">
        <v>40</v>
      </c>
      <c r="B14">
        <v>3.71</v>
      </c>
      <c r="C14"/>
      <c r="G14"/>
      <c r="H14"/>
      <c r="I14"/>
    </row>
    <row r="15" spans="1:9" s="4" customFormat="1" x14ac:dyDescent="0.2">
      <c r="C15"/>
      <c r="G15"/>
      <c r="H15"/>
      <c r="I15"/>
    </row>
    <row r="16" spans="1:9" s="4" customFormat="1" ht="16" thickBot="1" x14ac:dyDescent="0.25">
      <c r="A16"/>
      <c r="B16"/>
      <c r="C16"/>
      <c r="G16"/>
      <c r="H16"/>
    </row>
    <row r="17" spans="1:8" s="4" customFormat="1" x14ac:dyDescent="0.2">
      <c r="A17" s="14" t="s">
        <v>72</v>
      </c>
      <c r="B17" s="15"/>
      <c r="C17" s="15"/>
      <c r="D17" s="16"/>
      <c r="E17" s="16"/>
      <c r="F17" s="16"/>
      <c r="G17" s="17"/>
    </row>
    <row r="18" spans="1:8" s="4" customFormat="1" ht="16" thickBot="1" x14ac:dyDescent="0.25">
      <c r="A18" s="18" t="s">
        <v>81</v>
      </c>
      <c r="B18"/>
      <c r="C18" s="2">
        <v>0.35</v>
      </c>
      <c r="D18" s="2">
        <v>0.3</v>
      </c>
      <c r="E18" s="2">
        <v>0.2</v>
      </c>
      <c r="F18" s="2">
        <v>0.15</v>
      </c>
      <c r="G18" s="19">
        <v>0.08</v>
      </c>
    </row>
    <row r="19" spans="1:8" s="4" customFormat="1" x14ac:dyDescent="0.2">
      <c r="A19" s="18" t="s">
        <v>8</v>
      </c>
      <c r="B19">
        <v>800</v>
      </c>
      <c r="C19" s="22">
        <f>B19*(1+C$18)</f>
        <v>1080</v>
      </c>
      <c r="D19" s="23">
        <f>C19*(1+D$18)</f>
        <v>1404</v>
      </c>
      <c r="E19" s="23">
        <f>D19*(1+E$18)</f>
        <v>1684.8</v>
      </c>
      <c r="F19" s="23">
        <f>E19*(1+F$18)</f>
        <v>1937.5199999999998</v>
      </c>
      <c r="G19" s="24">
        <f>F19*(1+G$18)</f>
        <v>2092.5216</v>
      </c>
      <c r="H19" s="12" t="str">
        <f ca="1">_xlfn.FORMULATEXT(G19)</f>
        <v>=F19*(1+G$18)</v>
      </c>
    </row>
    <row r="20" spans="1:8" s="4" customFormat="1" x14ac:dyDescent="0.2">
      <c r="A20" s="18" t="s">
        <v>69</v>
      </c>
      <c r="B20" s="9">
        <v>-360</v>
      </c>
      <c r="C20" s="25">
        <f>-C19*$B$3</f>
        <v>-486</v>
      </c>
      <c r="D20" s="26">
        <f>-D19*$B$3</f>
        <v>-631.80000000000007</v>
      </c>
      <c r="E20" s="26">
        <f>-E19*$B$3</f>
        <v>-758.16</v>
      </c>
      <c r="F20" s="26">
        <f>-F19*$B$3</f>
        <v>-871.8839999999999</v>
      </c>
      <c r="G20" s="27">
        <f>-G19*$B$3</f>
        <v>-941.63472000000002</v>
      </c>
      <c r="H20" s="12" t="str">
        <f t="shared" ref="H20:H25" ca="1" si="0">_xlfn.FORMULATEXT(G20)</f>
        <v>=-G19*$B$3</v>
      </c>
    </row>
    <row r="21" spans="1:8" s="4" customFormat="1" x14ac:dyDescent="0.2">
      <c r="A21" s="18" t="s">
        <v>70</v>
      </c>
      <c r="B21" s="9">
        <v>-200</v>
      </c>
      <c r="C21" s="36">
        <f>B21</f>
        <v>-200</v>
      </c>
      <c r="D21" s="35">
        <f>C21</f>
        <v>-200</v>
      </c>
      <c r="E21" s="35">
        <f>D21</f>
        <v>-200</v>
      </c>
      <c r="F21" s="35">
        <f>E21</f>
        <v>-200</v>
      </c>
      <c r="G21" s="37">
        <f>F21</f>
        <v>-200</v>
      </c>
      <c r="H21" s="12" t="str">
        <f t="shared" ca="1" si="0"/>
        <v>=F21</v>
      </c>
    </row>
    <row r="22" spans="1:8" s="4" customFormat="1" x14ac:dyDescent="0.2">
      <c r="A22" s="18" t="s">
        <v>75</v>
      </c>
      <c r="B22">
        <v>854</v>
      </c>
      <c r="C22" s="25">
        <f ca="1">C25-C23</f>
        <v>1170.6153846153845</v>
      </c>
      <c r="D22" s="26">
        <f ca="1">D25-D23</f>
        <v>1556.1862348178138</v>
      </c>
      <c r="E22" s="26">
        <f ca="1">E25-E23</f>
        <v>1947.363733219689</v>
      </c>
      <c r="F22" s="26">
        <f ca="1">F25-F23</f>
        <v>2356.9809682954456</v>
      </c>
      <c r="G22" s="27">
        <f ca="1">G25-G23</f>
        <v>2730.5915965370714</v>
      </c>
      <c r="H22" s="12" t="str">
        <f t="shared" ca="1" si="0"/>
        <v>=G25-G23</v>
      </c>
    </row>
    <row r="23" spans="1:8" s="4" customFormat="1" x14ac:dyDescent="0.2">
      <c r="A23" s="18" t="s">
        <v>76</v>
      </c>
      <c r="B23" s="9">
        <v>-238.61538461538464</v>
      </c>
      <c r="C23" s="39">
        <f ca="1">B23+C24</f>
        <v>-339.84615384615387</v>
      </c>
      <c r="D23" s="13">
        <f ca="1">C23+D24</f>
        <v>-476.18623481781378</v>
      </c>
      <c r="E23" s="13">
        <f ca="1">D23+E24</f>
        <v>-651.36373321968892</v>
      </c>
      <c r="F23" s="13">
        <f ca="1">E23+F24</f>
        <v>-866.5809682954457</v>
      </c>
      <c r="G23" s="40">
        <f ca="1">F23+G24</f>
        <v>-1120.9595965370715</v>
      </c>
      <c r="H23" s="12" t="str">
        <f t="shared" ca="1" si="0"/>
        <v>=F23+G24</v>
      </c>
    </row>
    <row r="24" spans="1:8" s="4" customFormat="1" x14ac:dyDescent="0.2">
      <c r="A24" s="18" t="s">
        <v>12</v>
      </c>
      <c r="B24"/>
      <c r="C24" s="39">
        <f ca="1">-$B$9*(B22+C22)/2</f>
        <v>-101.23076923076923</v>
      </c>
      <c r="D24" s="13">
        <f ca="1">-$B$9*(C22+D22)/2</f>
        <v>-136.34008097165994</v>
      </c>
      <c r="E24" s="13">
        <f ca="1">-$B$9*(D22+E22)/2</f>
        <v>-175.17749840187514</v>
      </c>
      <c r="F24" s="13">
        <f ca="1">-$B$9*(E22+F22)/2</f>
        <v>-215.21723507575672</v>
      </c>
      <c r="G24" s="40">
        <f ca="1">-$B$9*(F22+G22)/2</f>
        <v>-254.37862824162585</v>
      </c>
      <c r="H24" s="12" t="str">
        <f t="shared" ca="1" si="0"/>
        <v>=-$B$9*(F22+G22)/2</v>
      </c>
    </row>
    <row r="25" spans="1:8" s="4" customFormat="1" ht="16" thickBot="1" x14ac:dyDescent="0.25">
      <c r="A25" s="21" t="s">
        <v>74</v>
      </c>
      <c r="B25" s="34">
        <v>615.38461538461536</v>
      </c>
      <c r="C25" s="41">
        <f>C19/$B$8</f>
        <v>830.76923076923072</v>
      </c>
      <c r="D25" s="38">
        <f>D19/$B$8</f>
        <v>1080</v>
      </c>
      <c r="E25" s="38">
        <f>E19/$B$8</f>
        <v>1296</v>
      </c>
      <c r="F25" s="38">
        <f>F19/$B$8</f>
        <v>1490.3999999999999</v>
      </c>
      <c r="G25" s="42">
        <f>G19/$B$8</f>
        <v>1609.6320000000001</v>
      </c>
      <c r="H25" s="12" t="str">
        <f t="shared" ca="1" si="0"/>
        <v>=G19/$B$8</v>
      </c>
    </row>
    <row r="26" spans="1:8" s="4" customFormat="1" ht="16" thickBot="1" x14ac:dyDescent="0.25">
      <c r="A26"/>
      <c r="B26"/>
      <c r="C26"/>
    </row>
    <row r="27" spans="1:8" s="4" customFormat="1" x14ac:dyDescent="0.2">
      <c r="A27" s="14" t="s">
        <v>73</v>
      </c>
      <c r="B27" s="15"/>
      <c r="C27" s="15"/>
      <c r="D27" s="16"/>
      <c r="E27" s="16"/>
      <c r="F27" s="16"/>
      <c r="G27" s="17"/>
    </row>
    <row r="28" spans="1:8" s="4" customFormat="1" ht="16" thickBot="1" x14ac:dyDescent="0.25">
      <c r="A28" s="18" t="s">
        <v>81</v>
      </c>
      <c r="B28"/>
      <c r="C28" s="2">
        <v>0.3</v>
      </c>
      <c r="D28" s="2">
        <v>0.35</v>
      </c>
      <c r="E28" s="2">
        <v>0.25</v>
      </c>
      <c r="F28" s="2">
        <v>0.15</v>
      </c>
      <c r="G28" s="19">
        <v>0.08</v>
      </c>
    </row>
    <row r="29" spans="1:8" s="4" customFormat="1" x14ac:dyDescent="0.2">
      <c r="A29" s="18" t="s">
        <v>8</v>
      </c>
      <c r="B29">
        <v>510</v>
      </c>
      <c r="C29" s="22">
        <f>B29*(1+C$28)</f>
        <v>663</v>
      </c>
      <c r="D29" s="23">
        <f>C29*(1+D$28)</f>
        <v>895.05000000000007</v>
      </c>
      <c r="E29" s="23">
        <f>D29*(1+E$28)</f>
        <v>1118.8125</v>
      </c>
      <c r="F29" s="23">
        <f>E29*(1+F$28)</f>
        <v>1286.6343749999999</v>
      </c>
      <c r="G29" s="24">
        <f>F29*(1+G$28)</f>
        <v>1389.5651249999999</v>
      </c>
      <c r="H29" s="12" t="str">
        <f ca="1">_xlfn.FORMULATEXT(G29)</f>
        <v>=F29*(1+G$28)</v>
      </c>
    </row>
    <row r="30" spans="1:8" s="4" customFormat="1" x14ac:dyDescent="0.2">
      <c r="A30" s="18" t="s">
        <v>69</v>
      </c>
      <c r="B30" s="9">
        <v>-230</v>
      </c>
      <c r="C30" s="25">
        <f>-C29*$B$3</f>
        <v>-298.35000000000002</v>
      </c>
      <c r="D30" s="26">
        <f>-D29*$B$3</f>
        <v>-402.77250000000004</v>
      </c>
      <c r="E30" s="26">
        <f>-E29*$B$3</f>
        <v>-503.46562499999999</v>
      </c>
      <c r="F30" s="26">
        <f>-F29*$B$3</f>
        <v>-578.98546875</v>
      </c>
      <c r="G30" s="27">
        <f>-G29*$B$3</f>
        <v>-625.30430624999997</v>
      </c>
      <c r="H30" s="12" t="str">
        <f t="shared" ref="H30:H36" ca="1" si="1">_xlfn.FORMULATEXT(G30)</f>
        <v>=-G29*$B$3</v>
      </c>
    </row>
    <row r="31" spans="1:8" s="4" customFormat="1" x14ac:dyDescent="0.2">
      <c r="A31" s="18" t="s">
        <v>70</v>
      </c>
      <c r="B31" s="9">
        <v>-126</v>
      </c>
      <c r="C31" s="36">
        <f>B31</f>
        <v>-126</v>
      </c>
      <c r="D31" s="35">
        <f>C31</f>
        <v>-126</v>
      </c>
      <c r="E31" s="35">
        <f>D31</f>
        <v>-126</v>
      </c>
      <c r="F31" s="35">
        <f>E31</f>
        <v>-126</v>
      </c>
      <c r="G31" s="37">
        <f>F31</f>
        <v>-126</v>
      </c>
      <c r="H31" s="12" t="str">
        <f t="shared" ca="1" si="1"/>
        <v>=F31</v>
      </c>
    </row>
    <row r="32" spans="1:8" s="4" customFormat="1" x14ac:dyDescent="0.2">
      <c r="A32" s="18" t="s">
        <v>77</v>
      </c>
      <c r="B32">
        <v>0.39503899999999997</v>
      </c>
      <c r="C32" s="18">
        <v>0.39503899999999997</v>
      </c>
      <c r="D32">
        <v>0.38</v>
      </c>
      <c r="E32">
        <v>0.37</v>
      </c>
      <c r="F32">
        <v>0.36</v>
      </c>
      <c r="G32" s="20">
        <v>0.35</v>
      </c>
      <c r="H32" s="12"/>
    </row>
    <row r="33" spans="1:8" s="4" customFormat="1" x14ac:dyDescent="0.2">
      <c r="A33" s="18" t="s">
        <v>78</v>
      </c>
      <c r="B33">
        <v>215</v>
      </c>
      <c r="C33" s="25">
        <f ca="1">C36-C34</f>
        <v>286.5716331983806</v>
      </c>
      <c r="D33" s="26">
        <f ca="1">D36-D34</f>
        <v>380.06349985084171</v>
      </c>
      <c r="E33" s="26">
        <f ca="1">E36-E34</f>
        <v>479.86097351935132</v>
      </c>
      <c r="F33" s="26">
        <f ca="1">F36-F34</f>
        <v>570.23318125823039</v>
      </c>
      <c r="G33" s="27">
        <f ca="1">G36-G34</f>
        <v>649.01029244330721</v>
      </c>
      <c r="H33" s="12" t="str">
        <f t="shared" ca="1" si="1"/>
        <v>=G36-G34</v>
      </c>
    </row>
    <row r="34" spans="1:8" s="4" customFormat="1" x14ac:dyDescent="0.2">
      <c r="A34" s="18" t="s">
        <v>79</v>
      </c>
      <c r="B34" s="9">
        <v>-60.023161538461551</v>
      </c>
      <c r="C34" s="39">
        <f ca="1">B34+C35</f>
        <v>-85.101743198380575</v>
      </c>
      <c r="D34" s="13">
        <f ca="1">C34+D35</f>
        <v>-118.43349985084168</v>
      </c>
      <c r="E34" s="13">
        <f ca="1">D34+E35</f>
        <v>-161.42972351935134</v>
      </c>
      <c r="F34" s="13">
        <f ca="1">E34+F35</f>
        <v>-213.93443125823043</v>
      </c>
      <c r="G34" s="40">
        <f ca="1">F34+G35</f>
        <v>-274.8966049433073</v>
      </c>
      <c r="H34" s="12" t="str">
        <f t="shared" ca="1" si="1"/>
        <v>=F34+G35</v>
      </c>
    </row>
    <row r="35" spans="1:8" s="4" customFormat="1" x14ac:dyDescent="0.2">
      <c r="A35" s="18" t="s">
        <v>82</v>
      </c>
      <c r="B35"/>
      <c r="C35" s="39">
        <f ca="1">-$B$9*(B33+C33)/2</f>
        <v>-25.078581659919031</v>
      </c>
      <c r="D35" s="13">
        <f ca="1">-$B$9*(C33+D33)/2</f>
        <v>-33.331756652461117</v>
      </c>
      <c r="E35" s="13">
        <f ca="1">-$B$9*(D33+E33)/2</f>
        <v>-42.996223668509657</v>
      </c>
      <c r="F35" s="13">
        <f ca="1">-$B$9*(E33+F33)/2</f>
        <v>-52.504707738879091</v>
      </c>
      <c r="G35" s="40">
        <f ca="1">-$B$9*(F33+G33)/2</f>
        <v>-60.962173685076884</v>
      </c>
      <c r="H35" s="12" t="str">
        <f t="shared" ca="1" si="1"/>
        <v>=-$B$9*(F33+G33)/2</v>
      </c>
    </row>
    <row r="36" spans="1:8" s="4" customFormat="1" ht="16" thickBot="1" x14ac:dyDescent="0.25">
      <c r="A36" s="21" t="s">
        <v>80</v>
      </c>
      <c r="B36" s="34">
        <v>154.97683846153845</v>
      </c>
      <c r="C36" s="41">
        <f>C29/$B$8*C32</f>
        <v>201.46988999999999</v>
      </c>
      <c r="D36" s="38">
        <f>D29/$B$8*D32</f>
        <v>261.63</v>
      </c>
      <c r="E36" s="38">
        <f>E29/$B$8*E32</f>
        <v>318.43124999999998</v>
      </c>
      <c r="F36" s="38">
        <f>F29/$B$8*F32</f>
        <v>356.29874999999993</v>
      </c>
      <c r="G36" s="42">
        <f>G29/$B$8*G32</f>
        <v>374.11368749999991</v>
      </c>
      <c r="H36" s="12" t="str">
        <f t="shared" ca="1" si="1"/>
        <v>=G29/$B$8*G32</v>
      </c>
    </row>
    <row r="37" spans="1:8" s="4" customFormat="1" x14ac:dyDescent="0.2">
      <c r="A37"/>
      <c r="B37"/>
      <c r="C37"/>
    </row>
    <row r="38" spans="1:8" s="4" customFormat="1" hidden="1" x14ac:dyDescent="0.2">
      <c r="A38"/>
      <c r="B38"/>
      <c r="C38"/>
    </row>
    <row r="39" spans="1:8" s="4" customFormat="1" hidden="1" x14ac:dyDescent="0.2">
      <c r="A39"/>
      <c r="B39"/>
      <c r="C39"/>
    </row>
    <row r="40" spans="1:8" s="4" customFormat="1" hidden="1" x14ac:dyDescent="0.2">
      <c r="A40"/>
      <c r="B40"/>
      <c r="C40"/>
    </row>
    <row r="41" spans="1:8" s="4" customFormat="1" hidden="1" x14ac:dyDescent="0.2">
      <c r="A41"/>
      <c r="B41"/>
      <c r="C41"/>
    </row>
    <row r="42" spans="1:8" s="4" customFormat="1" hidden="1" x14ac:dyDescent="0.2">
      <c r="A42"/>
      <c r="B42"/>
      <c r="C42"/>
    </row>
    <row r="43" spans="1:8" s="4" customFormat="1" hidden="1" x14ac:dyDescent="0.2">
      <c r="A43"/>
      <c r="B43"/>
      <c r="C43"/>
    </row>
    <row r="44" spans="1:8" s="4" customFormat="1" hidden="1" x14ac:dyDescent="0.2">
      <c r="A44"/>
      <c r="B44"/>
      <c r="C44"/>
    </row>
    <row r="45" spans="1:8" s="4" customFormat="1" hidden="1" x14ac:dyDescent="0.2">
      <c r="A45"/>
      <c r="B45"/>
      <c r="C45"/>
    </row>
    <row r="46" spans="1:8" s="4" customFormat="1" hidden="1" x14ac:dyDescent="0.2">
      <c r="A46"/>
      <c r="B46"/>
      <c r="C46"/>
    </row>
    <row r="47" spans="1:8" s="4" customFormat="1" hidden="1" x14ac:dyDescent="0.2">
      <c r="A47"/>
      <c r="B47"/>
      <c r="C47"/>
    </row>
    <row r="48" spans="1:8" x14ac:dyDescent="0.2">
      <c r="A48" s="4" t="s">
        <v>6</v>
      </c>
      <c r="B48" s="5">
        <v>0</v>
      </c>
      <c r="C48" s="5">
        <v>1</v>
      </c>
      <c r="D48" s="5">
        <v>2</v>
      </c>
      <c r="E48" s="5">
        <v>3</v>
      </c>
      <c r="F48" s="5">
        <v>4</v>
      </c>
      <c r="G48" s="5">
        <v>5</v>
      </c>
    </row>
    <row r="49" spans="1:8" ht="16" thickBot="1" x14ac:dyDescent="0.25">
      <c r="A49" s="4" t="s">
        <v>7</v>
      </c>
      <c r="D49" s="12"/>
      <c r="E49" s="12"/>
      <c r="F49" s="12"/>
    </row>
    <row r="50" spans="1:8" x14ac:dyDescent="0.2">
      <c r="A50" t="s">
        <v>8</v>
      </c>
      <c r="B50" s="12">
        <v>1001.46989</v>
      </c>
      <c r="C50" s="22">
        <f t="shared" ref="C50:G52" si="2">C19+C29*C$32</f>
        <v>1341.9108569999999</v>
      </c>
      <c r="D50" s="23">
        <f t="shared" si="2"/>
        <v>1744.1190000000001</v>
      </c>
      <c r="E50" s="23">
        <f t="shared" si="2"/>
        <v>2098.7606249999999</v>
      </c>
      <c r="F50" s="23">
        <f t="shared" si="2"/>
        <v>2400.7083749999997</v>
      </c>
      <c r="G50" s="24">
        <f t="shared" si="2"/>
        <v>2578.8693937500002</v>
      </c>
      <c r="H50" s="12" t="str">
        <f t="shared" ref="H50:H64" ca="1" si="3">_xlfn.FORMULATEXT(G50)</f>
        <v>=G19+G29*G$32</v>
      </c>
    </row>
    <row r="51" spans="1:8" x14ac:dyDescent="0.2">
      <c r="A51" t="s">
        <v>69</v>
      </c>
      <c r="B51" s="12">
        <f>B20+B30*B$32</f>
        <v>-450.85897</v>
      </c>
      <c r="C51" s="25">
        <f t="shared" si="2"/>
        <v>-603.85988565000002</v>
      </c>
      <c r="D51" s="26">
        <f t="shared" si="2"/>
        <v>-784.85355000000004</v>
      </c>
      <c r="E51" s="26">
        <f t="shared" si="2"/>
        <v>-944.44228124999995</v>
      </c>
      <c r="F51" s="26">
        <f t="shared" si="2"/>
        <v>-1080.3187687499999</v>
      </c>
      <c r="G51" s="27">
        <f t="shared" si="2"/>
        <v>-1160.4912271875</v>
      </c>
      <c r="H51" s="12" t="str">
        <f t="shared" ca="1" si="3"/>
        <v>=G20+G30*G$32</v>
      </c>
    </row>
    <row r="52" spans="1:8" x14ac:dyDescent="0.2">
      <c r="A52" t="s">
        <v>70</v>
      </c>
      <c r="B52" s="12">
        <f>B21+B31*B$32</f>
        <v>-249.774914</v>
      </c>
      <c r="C52" s="25">
        <f t="shared" si="2"/>
        <v>-249.774914</v>
      </c>
      <c r="D52" s="26">
        <f t="shared" si="2"/>
        <v>-247.88</v>
      </c>
      <c r="E52" s="26">
        <f t="shared" si="2"/>
        <v>-246.62</v>
      </c>
      <c r="F52" s="26">
        <f t="shared" si="2"/>
        <v>-245.36</v>
      </c>
      <c r="G52" s="27">
        <f t="shared" si="2"/>
        <v>-244.1</v>
      </c>
      <c r="H52" s="12" t="str">
        <f t="shared" ca="1" si="3"/>
        <v>=G21+G31*G$32</v>
      </c>
    </row>
    <row r="53" spans="1:8" x14ac:dyDescent="0.2">
      <c r="A53" t="s">
        <v>67</v>
      </c>
      <c r="B53" s="12">
        <v>300.836006</v>
      </c>
      <c r="C53" s="25">
        <f>SUM(C50:C52)</f>
        <v>488.27605734999986</v>
      </c>
      <c r="D53" s="26">
        <f>SUM(D50:D52)</f>
        <v>711.38545000000011</v>
      </c>
      <c r="E53" s="26">
        <f>SUM(E50:E52)</f>
        <v>907.69834374999994</v>
      </c>
      <c r="F53" s="26">
        <f>SUM(F50:F52)</f>
        <v>1075.0296062499997</v>
      </c>
      <c r="G53" s="27">
        <f>SUM(G50:G52)</f>
        <v>1174.2781665625002</v>
      </c>
      <c r="H53" s="12" t="str">
        <f t="shared" ca="1" si="3"/>
        <v>=SUM(G50:G52)</v>
      </c>
    </row>
    <row r="54" spans="1:8" x14ac:dyDescent="0.2">
      <c r="A54" t="s">
        <v>65</v>
      </c>
      <c r="B54" s="12">
        <v>-90.132290099999992</v>
      </c>
      <c r="C54" s="25">
        <f>-C50*$B$4</f>
        <v>-120.77197712999998</v>
      </c>
      <c r="D54" s="26">
        <f>-D50*$B$4</f>
        <v>-156.97071</v>
      </c>
      <c r="E54" s="26">
        <f>-E50*$B$4</f>
        <v>-188.88845624999999</v>
      </c>
      <c r="F54" s="26">
        <f>-F50*$B$4</f>
        <v>-216.06375374999996</v>
      </c>
      <c r="G54" s="27">
        <f>-G50*$B$4</f>
        <v>-232.0982454375</v>
      </c>
      <c r="H54" s="12" t="str">
        <f t="shared" ca="1" si="3"/>
        <v>=-G50*$B$4</v>
      </c>
    </row>
    <row r="55" spans="1:8" x14ac:dyDescent="0.2">
      <c r="A55" t="s">
        <v>62</v>
      </c>
      <c r="B55" s="12">
        <v>210.70371590000002</v>
      </c>
      <c r="C55" s="25">
        <f>C53+C54</f>
        <v>367.50408021999988</v>
      </c>
      <c r="D55" s="26">
        <f>D53+D54</f>
        <v>554.41474000000017</v>
      </c>
      <c r="E55" s="26">
        <f>E53+E54</f>
        <v>718.80988749999995</v>
      </c>
      <c r="F55" s="26">
        <f>F53+F54</f>
        <v>858.96585249999976</v>
      </c>
      <c r="G55" s="27">
        <f>G53+G54</f>
        <v>942.17992112500019</v>
      </c>
      <c r="H55" s="12" t="str">
        <f t="shared" ca="1" si="3"/>
        <v>=G53+G54</v>
      </c>
    </row>
    <row r="56" spans="1:8" x14ac:dyDescent="0.2">
      <c r="A56" t="s">
        <v>12</v>
      </c>
      <c r="B56" s="12">
        <v>-100.70371590000002</v>
      </c>
      <c r="C56" s="25">
        <f ca="1">C24+C35</f>
        <v>-126.30935089068825</v>
      </c>
      <c r="D56" s="26">
        <f ca="1">D24+D35</f>
        <v>-169.67183762412105</v>
      </c>
      <c r="E56" s="26">
        <f ca="1">E24+E35</f>
        <v>-218.1737220703848</v>
      </c>
      <c r="F56" s="26">
        <f ca="1">F24+F35</f>
        <v>-267.72194281463578</v>
      </c>
      <c r="G56" s="27">
        <f ca="1">G24+G35</f>
        <v>-315.34080192670274</v>
      </c>
      <c r="H56" s="12" t="str">
        <f t="shared" ca="1" si="3"/>
        <v>=G24+G35</v>
      </c>
    </row>
    <row r="57" spans="1:8" x14ac:dyDescent="0.2">
      <c r="A57" t="s">
        <v>30</v>
      </c>
      <c r="B57" s="12">
        <v>110</v>
      </c>
      <c r="C57" s="25">
        <f ca="1">C55+C56</f>
        <v>241.19472932931163</v>
      </c>
      <c r="D57" s="26">
        <f ca="1">D55+D56</f>
        <v>384.74290237587911</v>
      </c>
      <c r="E57" s="26">
        <f ca="1">E55+E56</f>
        <v>500.63616542961518</v>
      </c>
      <c r="F57" s="26">
        <f ca="1">F55+F56</f>
        <v>591.24390968536397</v>
      </c>
      <c r="G57" s="27">
        <f ca="1">G55+G56</f>
        <v>626.83911919829745</v>
      </c>
      <c r="H57" s="12" t="str">
        <f t="shared" ca="1" si="3"/>
        <v>=G55+G56</v>
      </c>
    </row>
    <row r="58" spans="1:8" x14ac:dyDescent="0.2">
      <c r="A58" t="s">
        <v>10</v>
      </c>
      <c r="B58" s="12">
        <v>-35.384667581282052</v>
      </c>
      <c r="C58" s="25">
        <f ca="1">-$B$10*(B78+C78)/2</f>
        <v>-48.943773359391713</v>
      </c>
      <c r="D58" s="26">
        <f ca="1">-$B$10*(C78+D78)/2</f>
        <v>-75.044002805502473</v>
      </c>
      <c r="E58" s="26">
        <f ca="1">-$B$10*(D78+E78)/2</f>
        <v>-96.262967344718575</v>
      </c>
      <c r="F58" s="26">
        <f ca="1">-$B$10*(E78+F78)/2</f>
        <v>-109.8310440849536</v>
      </c>
      <c r="G58" s="27">
        <f ca="1">-$B$10*(F78+G78)/2</f>
        <v>-113.4065210212357</v>
      </c>
      <c r="H58" s="12" t="str">
        <f t="shared" ca="1" si="3"/>
        <v>=-$B$10*(F78+G78)/2</v>
      </c>
    </row>
    <row r="59" spans="1:8" x14ac:dyDescent="0.2">
      <c r="A59" t="s">
        <v>11</v>
      </c>
      <c r="B59" s="12">
        <v>6.4</v>
      </c>
      <c r="C59" s="25">
        <f>$B$11*(B67+C67)/2</f>
        <v>6.6191041097306673</v>
      </c>
      <c r="D59" s="26">
        <f>$B$11*(C67+D67)/2</f>
        <v>7.072898784397335</v>
      </c>
      <c r="E59" s="26">
        <f>$B$11*(D67+E67)/2</f>
        <v>7.5187532563333344</v>
      </c>
      <c r="F59" s="26">
        <f>$B$11*(E67+F67)/2</f>
        <v>7.9077785413333324</v>
      </c>
      <c r="G59" s="27">
        <f>$B$11*(F67+G67)/2</f>
        <v>8.1852680831833293</v>
      </c>
      <c r="H59" s="12" t="str">
        <f t="shared" ca="1" si="3"/>
        <v>=$B$11*(F67+G67)/2</v>
      </c>
    </row>
    <row r="60" spans="1:8" x14ac:dyDescent="0.2">
      <c r="A60" t="s">
        <v>31</v>
      </c>
      <c r="B60" s="12">
        <v>81.015332418717946</v>
      </c>
      <c r="C60" s="25">
        <f ca="1">C57+C58+C59</f>
        <v>198.87006007965059</v>
      </c>
      <c r="D60" s="26">
        <f ca="1">D57+D58+D59</f>
        <v>316.77179835477398</v>
      </c>
      <c r="E60" s="26">
        <f ca="1">E57+E58+E59</f>
        <v>411.89195134122997</v>
      </c>
      <c r="F60" s="26">
        <f ca="1">F57+F58+F59</f>
        <v>489.32064414174374</v>
      </c>
      <c r="G60" s="27">
        <f ca="1">G57+G58+G59</f>
        <v>521.61786626024514</v>
      </c>
      <c r="H60" s="12" t="str">
        <f t="shared" ca="1" si="3"/>
        <v>=G57+G58+G59</v>
      </c>
    </row>
    <row r="61" spans="1:8" x14ac:dyDescent="0.2">
      <c r="A61" t="s">
        <v>13</v>
      </c>
      <c r="B61" s="12">
        <v>-32.406132967487181</v>
      </c>
      <c r="C61" s="25">
        <f ca="1">-C60*$B$12</f>
        <v>-79.548024031860237</v>
      </c>
      <c r="D61" s="26">
        <f ca="1">-D60*$B$12</f>
        <v>-126.7087193419096</v>
      </c>
      <c r="E61" s="26">
        <f ca="1">-E60*$B$12</f>
        <v>-164.75678053649199</v>
      </c>
      <c r="F61" s="26">
        <f ca="1">-F60*$B$12</f>
        <v>-195.72825765669751</v>
      </c>
      <c r="G61" s="27">
        <f ca="1">-G60*$B$12</f>
        <v>-208.64714650409806</v>
      </c>
      <c r="H61" s="12" t="str">
        <f t="shared" ca="1" si="3"/>
        <v>=-G60*$B$12</v>
      </c>
    </row>
    <row r="62" spans="1:8" x14ac:dyDescent="0.2">
      <c r="A62" t="s">
        <v>32</v>
      </c>
      <c r="B62" s="12">
        <v>48.609199451230765</v>
      </c>
      <c r="C62" s="25">
        <f ca="1">C61+C60</f>
        <v>119.32203604779035</v>
      </c>
      <c r="D62" s="26">
        <f ca="1">D61+D60</f>
        <v>190.06307901286436</v>
      </c>
      <c r="E62" s="26">
        <f ca="1">E61+E60</f>
        <v>247.13517080473798</v>
      </c>
      <c r="F62" s="26">
        <f ca="1">F61+F60</f>
        <v>293.59238648504623</v>
      </c>
      <c r="G62" s="27">
        <f ca="1">G61+G60</f>
        <v>312.9707197561471</v>
      </c>
      <c r="H62" s="12" t="str">
        <f t="shared" ca="1" si="3"/>
        <v>=G61+G60</v>
      </c>
    </row>
    <row r="63" spans="1:8" x14ac:dyDescent="0.2">
      <c r="A63" t="s">
        <v>15</v>
      </c>
      <c r="B63" s="12">
        <v>-19.443679780492307</v>
      </c>
      <c r="C63" s="25">
        <f ca="1">-$B$13*C62</f>
        <v>-47.728814419116141</v>
      </c>
      <c r="D63" s="26">
        <f ca="1">-$B$13*D62</f>
        <v>-76.025231605145748</v>
      </c>
      <c r="E63" s="26">
        <f ca="1">-$B$13*E62</f>
        <v>-98.854068321895198</v>
      </c>
      <c r="F63" s="26">
        <f ca="1">-$B$13*F62</f>
        <v>-117.4369545940185</v>
      </c>
      <c r="G63" s="27">
        <f ca="1">-$B$13*G62</f>
        <v>-125.18828790245885</v>
      </c>
      <c r="H63" s="12" t="str">
        <f t="shared" ca="1" si="3"/>
        <v>=-$B$13*G62</v>
      </c>
    </row>
    <row r="64" spans="1:8" x14ac:dyDescent="0.2">
      <c r="A64" t="s">
        <v>16</v>
      </c>
      <c r="B64" s="12">
        <v>29.165519670738458</v>
      </c>
      <c r="C64" s="25">
        <f ca="1">C63+C62</f>
        <v>71.5932216286742</v>
      </c>
      <c r="D64" s="26">
        <f ca="1">D63+D62</f>
        <v>114.03784740771862</v>
      </c>
      <c r="E64" s="26">
        <f ca="1">E63+E62</f>
        <v>148.28110248284278</v>
      </c>
      <c r="F64" s="26">
        <f ca="1">F63+F62</f>
        <v>176.15543189102772</v>
      </c>
      <c r="G64" s="27">
        <f ca="1">G63+G62</f>
        <v>187.78243185368825</v>
      </c>
      <c r="H64" s="12" t="str">
        <f t="shared" ca="1" si="3"/>
        <v>=G63+G62</v>
      </c>
    </row>
    <row r="65" spans="1:8" x14ac:dyDescent="0.2">
      <c r="B65" s="12"/>
      <c r="C65" s="25"/>
      <c r="D65" s="26"/>
      <c r="E65" s="26"/>
      <c r="F65" s="26"/>
      <c r="G65" s="27"/>
      <c r="H65" s="12"/>
    </row>
    <row r="66" spans="1:8" x14ac:dyDescent="0.2">
      <c r="A66" s="4" t="s">
        <v>17</v>
      </c>
      <c r="B66" s="12"/>
      <c r="C66" s="25"/>
      <c r="D66" s="26"/>
      <c r="E66" s="26"/>
      <c r="F66" s="26"/>
      <c r="G66" s="27"/>
      <c r="H66" s="12"/>
    </row>
    <row r="67" spans="1:8" x14ac:dyDescent="0.2">
      <c r="A67" s="6" t="s">
        <v>18</v>
      </c>
      <c r="B67" s="12">
        <v>80</v>
      </c>
      <c r="C67" s="25">
        <f>C70-C69-C68</f>
        <v>85.477602743266687</v>
      </c>
      <c r="D67" s="26">
        <f>D70-D69-D68</f>
        <v>91.344866866666678</v>
      </c>
      <c r="E67" s="26">
        <f>E70-E69-E68</f>
        <v>96.62396454166668</v>
      </c>
      <c r="F67" s="26">
        <f>F70-F69-F68</f>
        <v>101.07049899166662</v>
      </c>
      <c r="G67" s="27">
        <f>G70-G69-G68</f>
        <v>103.56120308791662</v>
      </c>
      <c r="H67" s="12" t="str">
        <f t="shared" ref="H67:H83" ca="1" si="4">_xlfn.FORMULATEXT(G67)</f>
        <v>=G70-G69-G68</v>
      </c>
    </row>
    <row r="68" spans="1:8" x14ac:dyDescent="0.2">
      <c r="A68" s="6" t="s">
        <v>34</v>
      </c>
      <c r="B68" s="12">
        <v>100.14698899999999</v>
      </c>
      <c r="C68" s="25">
        <f>C50/$B$5</f>
        <v>134.19108569999997</v>
      </c>
      <c r="D68" s="26">
        <f>D50/$B$5</f>
        <v>174.4119</v>
      </c>
      <c r="E68" s="26">
        <f>E50/$B$5</f>
        <v>209.87606249999999</v>
      </c>
      <c r="F68" s="26">
        <f>F50/$B$5</f>
        <v>240.07083749999998</v>
      </c>
      <c r="G68" s="27">
        <f>G50/$B$5</f>
        <v>257.886939375</v>
      </c>
      <c r="H68" s="12" t="str">
        <f t="shared" ca="1" si="4"/>
        <v>=G50/$B$5</v>
      </c>
    </row>
    <row r="69" spans="1:8" x14ac:dyDescent="0.2">
      <c r="A69" s="6" t="s">
        <v>33</v>
      </c>
      <c r="B69" s="12">
        <v>83.455824166666659</v>
      </c>
      <c r="C69" s="25">
        <f>-(C51+C52)/$B$6</f>
        <v>142.27246660833333</v>
      </c>
      <c r="D69" s="26">
        <f>-(D51+D52)/$B$6</f>
        <v>172.12225833333332</v>
      </c>
      <c r="E69" s="26">
        <f>-(E51+E52)/$B$6</f>
        <v>198.51038020833334</v>
      </c>
      <c r="F69" s="26">
        <f>-(F51+F52)/$B$6</f>
        <v>220.94646145833335</v>
      </c>
      <c r="G69" s="27">
        <f>-(G51+G52)/$B$6</f>
        <v>234.09853786458334</v>
      </c>
      <c r="H69" s="12" t="str">
        <f t="shared" ca="1" si="4"/>
        <v>=-(G51+G52)/$B$6</v>
      </c>
    </row>
    <row r="70" spans="1:8" x14ac:dyDescent="0.2">
      <c r="A70" t="s">
        <v>19</v>
      </c>
      <c r="B70" s="12">
        <v>263.60281316666664</v>
      </c>
      <c r="C70" s="25">
        <f>C77*$B$14</f>
        <v>361.94115505159999</v>
      </c>
      <c r="D70" s="26">
        <f>D77*$B$14</f>
        <v>437.8790252</v>
      </c>
      <c r="E70" s="26">
        <f>E77*$B$14</f>
        <v>505.01040725000001</v>
      </c>
      <c r="F70" s="26">
        <f>F77*$B$14</f>
        <v>562.08779794999998</v>
      </c>
      <c r="G70" s="27">
        <f>G77*$B$14</f>
        <v>595.54668032749998</v>
      </c>
      <c r="H70" s="12" t="str">
        <f t="shared" ca="1" si="4"/>
        <v>=G77*$B$14</v>
      </c>
    </row>
    <row r="71" spans="1:8" x14ac:dyDescent="0.2">
      <c r="A71" t="s">
        <v>20</v>
      </c>
      <c r="B71" s="12"/>
      <c r="C71" s="25"/>
      <c r="D71" s="26"/>
      <c r="E71" s="26"/>
      <c r="F71" s="26"/>
      <c r="G71" s="27"/>
      <c r="H71" s="12"/>
    </row>
    <row r="72" spans="1:8" x14ac:dyDescent="0.2">
      <c r="A72" t="s">
        <v>21</v>
      </c>
      <c r="B72" s="12">
        <v>1069</v>
      </c>
      <c r="C72" s="25">
        <f t="shared" ref="C72:G73" ca="1" si="5">C22+C33</f>
        <v>1457.1870178137651</v>
      </c>
      <c r="D72" s="26">
        <f t="shared" ca="1" si="5"/>
        <v>1936.2497346686555</v>
      </c>
      <c r="E72" s="26">
        <f t="shared" ca="1" si="5"/>
        <v>2427.2247067390404</v>
      </c>
      <c r="F72" s="26">
        <f t="shared" ca="1" si="5"/>
        <v>2927.2141495536762</v>
      </c>
      <c r="G72" s="27">
        <f t="shared" ca="1" si="5"/>
        <v>3379.6018889803786</v>
      </c>
      <c r="H72" s="12" t="str">
        <f t="shared" ca="1" si="4"/>
        <v>=G22+G33</v>
      </c>
    </row>
    <row r="73" spans="1:8" x14ac:dyDescent="0.2">
      <c r="A73" t="s">
        <v>35</v>
      </c>
      <c r="B73" s="12">
        <v>-298.63854615384616</v>
      </c>
      <c r="C73" s="25">
        <f t="shared" ca="1" si="5"/>
        <v>-424.94789704453444</v>
      </c>
      <c r="D73" s="26">
        <f t="shared" ca="1" si="5"/>
        <v>-594.6197346686555</v>
      </c>
      <c r="E73" s="26">
        <f t="shared" ca="1" si="5"/>
        <v>-812.79345673904027</v>
      </c>
      <c r="F73" s="26">
        <f t="shared" ca="1" si="5"/>
        <v>-1080.5153995536762</v>
      </c>
      <c r="G73" s="27">
        <f t="shared" ca="1" si="5"/>
        <v>-1395.8562014803788</v>
      </c>
      <c r="H73" s="12" t="str">
        <f t="shared" ca="1" si="4"/>
        <v>=G23+G34</v>
      </c>
    </row>
    <row r="74" spans="1:8" x14ac:dyDescent="0.2">
      <c r="A74" t="s">
        <v>22</v>
      </c>
      <c r="B74" s="12">
        <v>770.36145384615384</v>
      </c>
      <c r="C74" s="25">
        <f>C25+C36</f>
        <v>1032.2391207692308</v>
      </c>
      <c r="D74" s="26">
        <f>D25+D36</f>
        <v>1341.63</v>
      </c>
      <c r="E74" s="26">
        <f>E25+E36</f>
        <v>1614.4312500000001</v>
      </c>
      <c r="F74" s="26">
        <f>F25+F36</f>
        <v>1846.6987499999998</v>
      </c>
      <c r="G74" s="27">
        <f>G25+G36</f>
        <v>1983.7456875</v>
      </c>
      <c r="H74" s="12" t="str">
        <f t="shared" ca="1" si="4"/>
        <v>=G25+G36</v>
      </c>
    </row>
    <row r="75" spans="1:8" x14ac:dyDescent="0.2">
      <c r="A75" s="4" t="s">
        <v>23</v>
      </c>
      <c r="B75" s="12">
        <v>1033.9642670128205</v>
      </c>
      <c r="C75" s="25">
        <f>C74+C70</f>
        <v>1394.1802758208307</v>
      </c>
      <c r="D75" s="26">
        <f>D74+D70</f>
        <v>1779.5090252</v>
      </c>
      <c r="E75" s="26">
        <f>E74+E70</f>
        <v>2119.4416572499999</v>
      </c>
      <c r="F75" s="26">
        <f>F74+F70</f>
        <v>2408.7865479499997</v>
      </c>
      <c r="G75" s="27">
        <f>G74+G70</f>
        <v>2579.2923678275001</v>
      </c>
      <c r="H75" s="12" t="str">
        <f t="shared" ca="1" si="4"/>
        <v>=G74+G70</v>
      </c>
    </row>
    <row r="76" spans="1:8" x14ac:dyDescent="0.2">
      <c r="B76" s="12"/>
      <c r="C76" s="25"/>
      <c r="D76" s="26"/>
      <c r="E76" s="26"/>
      <c r="F76" s="26"/>
      <c r="G76" s="27"/>
      <c r="H76" s="12"/>
    </row>
    <row r="77" spans="1:8" x14ac:dyDescent="0.2">
      <c r="A77" t="s">
        <v>24</v>
      </c>
      <c r="B77" s="12">
        <v>80.117591199999993</v>
      </c>
      <c r="C77" s="25">
        <f>-(C52+C51)/$B$7</f>
        <v>97.558262817142861</v>
      </c>
      <c r="D77" s="26">
        <f>-(D52+D51)/$B$7</f>
        <v>118.02669142857143</v>
      </c>
      <c r="E77" s="26">
        <f>-(E52+E51)/$B$7</f>
        <v>136.12140357142857</v>
      </c>
      <c r="F77" s="26">
        <f>-(F52+F51)/$B$7</f>
        <v>151.506145</v>
      </c>
      <c r="G77" s="27">
        <f>-(G52+G51)/$B$7</f>
        <v>160.52471167857144</v>
      </c>
      <c r="H77" s="12" t="str">
        <f t="shared" ca="1" si="4"/>
        <v>=-(G52+G51)/$B$7</v>
      </c>
    </row>
    <row r="78" spans="1:8" x14ac:dyDescent="0.2">
      <c r="A78" t="s">
        <v>25</v>
      </c>
      <c r="B78" s="12">
        <v>353.84667581282054</v>
      </c>
      <c r="C78" s="25">
        <f ca="1">C75-C77-C79-C80</f>
        <v>625.02879137501372</v>
      </c>
      <c r="D78" s="26">
        <f ca="1">D75-D77-D79-D80</f>
        <v>875.85126473503578</v>
      </c>
      <c r="E78" s="26">
        <f ca="1">E75-E77-E79-E80</f>
        <v>1049.4080821593357</v>
      </c>
      <c r="F78" s="26">
        <f ca="1">F75-F77-F79-F80</f>
        <v>1147.2127995397366</v>
      </c>
      <c r="G78" s="27">
        <f ca="1">G75-G77-G79-G80</f>
        <v>1120.9176208849774</v>
      </c>
      <c r="H78" s="12" t="str">
        <f t="shared" ca="1" si="4"/>
        <v>=G75-G77-G79-G80</v>
      </c>
    </row>
    <row r="79" spans="1:8" x14ac:dyDescent="0.2">
      <c r="A79" t="s">
        <v>26</v>
      </c>
      <c r="B79" s="12">
        <v>450</v>
      </c>
      <c r="C79" s="25">
        <f>B79</f>
        <v>450</v>
      </c>
      <c r="D79" s="26">
        <f>C79</f>
        <v>450</v>
      </c>
      <c r="E79" s="26">
        <f>D79</f>
        <v>450</v>
      </c>
      <c r="F79" s="26">
        <f>E79</f>
        <v>450</v>
      </c>
      <c r="G79" s="27">
        <f>F79</f>
        <v>450</v>
      </c>
      <c r="H79" s="12" t="str">
        <f t="shared" ca="1" si="4"/>
        <v>=F79</v>
      </c>
    </row>
    <row r="80" spans="1:8" x14ac:dyDescent="0.2">
      <c r="A80" t="s">
        <v>27</v>
      </c>
      <c r="B80" s="12">
        <v>150</v>
      </c>
      <c r="C80" s="25">
        <f ca="1">B80+C64</f>
        <v>221.5932216286742</v>
      </c>
      <c r="D80" s="26">
        <f ca="1">C80+D64</f>
        <v>335.63106903639283</v>
      </c>
      <c r="E80" s="26">
        <f ca="1">D80+E64</f>
        <v>483.91217151923559</v>
      </c>
      <c r="F80" s="26">
        <f ca="1">E80+F64</f>
        <v>660.06760341026325</v>
      </c>
      <c r="G80" s="27">
        <f ca="1">F80+G64</f>
        <v>847.85003526395144</v>
      </c>
      <c r="H80" s="12" t="str">
        <f t="shared" ca="1" si="4"/>
        <v>=F80+G64</v>
      </c>
    </row>
    <row r="81" spans="1:8" ht="16" thickBot="1" x14ac:dyDescent="0.25">
      <c r="A81" s="4" t="s">
        <v>28</v>
      </c>
      <c r="B81" s="12">
        <v>1033.9642670128205</v>
      </c>
      <c r="C81" s="28">
        <f ca="1">SUM(C77:C80)</f>
        <v>1394.1802758208307</v>
      </c>
      <c r="D81" s="29">
        <f ca="1">SUM(D77:D80)</f>
        <v>1779.5090252</v>
      </c>
      <c r="E81" s="29">
        <f ca="1">SUM(E77:E80)</f>
        <v>2119.4416572499999</v>
      </c>
      <c r="F81" s="29">
        <f ca="1">SUM(F77:F80)</f>
        <v>2408.7865479499997</v>
      </c>
      <c r="G81" s="30">
        <f ca="1">SUM(G77:G80)</f>
        <v>2579.2923678275001</v>
      </c>
      <c r="H81" s="12" t="str">
        <f t="shared" ca="1" si="4"/>
        <v>=SUM(G77:G80)</v>
      </c>
    </row>
    <row r="82" spans="1:8" ht="16" thickBot="1" x14ac:dyDescent="0.25">
      <c r="H82" s="12"/>
    </row>
    <row r="83" spans="1:8" ht="16" thickBot="1" x14ac:dyDescent="0.25">
      <c r="A83" t="s">
        <v>39</v>
      </c>
      <c r="B83" s="3">
        <v>0.41970915326364916</v>
      </c>
      <c r="C83" s="31">
        <f ca="1">(C77+C78)/C81</f>
        <v>0.51828810572343642</v>
      </c>
      <c r="D83" s="32">
        <f ca="1">(D77+D78)/D81</f>
        <v>0.55851245601404287</v>
      </c>
      <c r="E83" s="32">
        <f ca="1">(E77+E78)/E81</f>
        <v>0.55935933960503659</v>
      </c>
      <c r="F83" s="32">
        <f ca="1">(F77+F78)/F81</f>
        <v>0.53915899922515453</v>
      </c>
      <c r="G83" s="33">
        <f ca="1">(G77+G78)/G81</f>
        <v>0.49681934027622038</v>
      </c>
      <c r="H83" s="12" t="str">
        <f t="shared" ca="1" si="4"/>
        <v>=(G77+G78)/G81</v>
      </c>
    </row>
    <row r="85" spans="1:8" s="4" customFormat="1" ht="13" x14ac:dyDescent="0.15">
      <c r="A85" s="7" t="s">
        <v>6</v>
      </c>
      <c r="B85" s="8">
        <v>0</v>
      </c>
      <c r="C85" s="8">
        <v>1</v>
      </c>
      <c r="D85" s="8">
        <v>2</v>
      </c>
      <c r="E85" s="8">
        <v>3</v>
      </c>
      <c r="F85" s="8">
        <v>4</v>
      </c>
      <c r="G85" s="8">
        <v>5</v>
      </c>
    </row>
    <row r="86" spans="1:8" s="4" customFormat="1" ht="14" thickBot="1" x14ac:dyDescent="0.2">
      <c r="A86" s="7" t="s">
        <v>41</v>
      </c>
      <c r="B86" s="8"/>
      <c r="C86" s="8"/>
      <c r="D86" s="8"/>
      <c r="E86" s="8"/>
      <c r="F86" s="8"/>
      <c r="G86" s="8"/>
    </row>
    <row r="87" spans="1:8" x14ac:dyDescent="0.2">
      <c r="A87" s="9" t="s">
        <v>14</v>
      </c>
      <c r="B87" s="9"/>
      <c r="C87" s="43">
        <f ca="1">C62</f>
        <v>119.32203604779035</v>
      </c>
      <c r="D87" s="44">
        <f ca="1">D62</f>
        <v>190.06307901286436</v>
      </c>
      <c r="E87" s="44">
        <f ca="1">E62</f>
        <v>247.13517080473798</v>
      </c>
      <c r="F87" s="44">
        <f ca="1">F62</f>
        <v>293.59238648504623</v>
      </c>
      <c r="G87" s="45">
        <f ca="1">G62</f>
        <v>312.9707197561471</v>
      </c>
      <c r="H87" s="12" t="str">
        <f t="shared" ref="H87:H94" ca="1" si="6">_xlfn.FORMULATEXT(G87)</f>
        <v>=G62</v>
      </c>
    </row>
    <row r="88" spans="1:8" x14ac:dyDescent="0.2">
      <c r="A88" s="9" t="s">
        <v>42</v>
      </c>
      <c r="B88" s="9"/>
      <c r="C88" s="46">
        <f ca="1">-C56</f>
        <v>126.30935089068825</v>
      </c>
      <c r="D88" s="9">
        <f ca="1">-D56</f>
        <v>169.67183762412105</v>
      </c>
      <c r="E88" s="9">
        <f ca="1">-E56</f>
        <v>218.1737220703848</v>
      </c>
      <c r="F88" s="9">
        <f ca="1">-F56</f>
        <v>267.72194281463578</v>
      </c>
      <c r="G88" s="47">
        <f ca="1">-G56</f>
        <v>315.34080192670274</v>
      </c>
      <c r="H88" s="12" t="str">
        <f t="shared" ca="1" si="6"/>
        <v>=-G56</v>
      </c>
    </row>
    <row r="89" spans="1:8" x14ac:dyDescent="0.2">
      <c r="A89" s="9" t="s">
        <v>43</v>
      </c>
      <c r="B89" s="9"/>
      <c r="C89" s="46">
        <f>-(C70-B70)</f>
        <v>-98.338341884933357</v>
      </c>
      <c r="D89" s="9">
        <f>-(D70-C70)</f>
        <v>-75.937870148400009</v>
      </c>
      <c r="E89" s="9">
        <f>-(E70-D70)</f>
        <v>-67.131382050000013</v>
      </c>
      <c r="F89" s="9">
        <f>-(F70-E70)</f>
        <v>-57.077390699999967</v>
      </c>
      <c r="G89" s="47">
        <f>-(G70-F70)</f>
        <v>-33.458882377500004</v>
      </c>
      <c r="H89" s="12" t="str">
        <f t="shared" ca="1" si="6"/>
        <v>=-(G70-F70)</v>
      </c>
    </row>
    <row r="90" spans="1:8" x14ac:dyDescent="0.2">
      <c r="A90" s="9" t="s">
        <v>44</v>
      </c>
      <c r="B90" s="9"/>
      <c r="C90" s="46">
        <f>C77-B77</f>
        <v>17.440671617142868</v>
      </c>
      <c r="D90" s="9">
        <f>D77-C77</f>
        <v>20.468428611428564</v>
      </c>
      <c r="E90" s="9">
        <f>E77-D77</f>
        <v>18.094712142857148</v>
      </c>
      <c r="F90" s="9">
        <f>F77-E77</f>
        <v>15.384741428571431</v>
      </c>
      <c r="G90" s="47">
        <f>G77-F77</f>
        <v>9.0185666785714318</v>
      </c>
      <c r="H90" s="12" t="str">
        <f t="shared" ca="1" si="6"/>
        <v>=G77-F77</v>
      </c>
    </row>
    <row r="91" spans="1:8" x14ac:dyDescent="0.2">
      <c r="A91" s="9" t="s">
        <v>45</v>
      </c>
      <c r="B91" s="9"/>
      <c r="C91" s="46">
        <f ca="1">-(C72-B72)</f>
        <v>-388.18701781376512</v>
      </c>
      <c r="D91" s="9">
        <f ca="1">-(D72-C72)</f>
        <v>-479.06271685489037</v>
      </c>
      <c r="E91" s="9">
        <f ca="1">-(E72-D72)</f>
        <v>-490.97497207038487</v>
      </c>
      <c r="F91" s="9">
        <f ca="1">-(F72-E72)</f>
        <v>-499.98944281463582</v>
      </c>
      <c r="G91" s="47">
        <f ca="1">-(G72-F72)</f>
        <v>-452.38773942670241</v>
      </c>
      <c r="H91" s="12" t="str">
        <f t="shared" ca="1" si="6"/>
        <v>=-(G72-F72)</v>
      </c>
    </row>
    <row r="92" spans="1:8" x14ac:dyDescent="0.2">
      <c r="A92" s="9" t="s">
        <v>46</v>
      </c>
      <c r="B92" s="9"/>
      <c r="C92" s="46">
        <f t="shared" ref="C92:G93" ca="1" si="7">-(1-$B$12)*C58</f>
        <v>29.366264015635025</v>
      </c>
      <c r="D92" s="9">
        <f t="shared" ca="1" si="7"/>
        <v>45.026401683301479</v>
      </c>
      <c r="E92" s="9">
        <f t="shared" ca="1" si="7"/>
        <v>57.757780406831145</v>
      </c>
      <c r="F92" s="9">
        <f t="shared" ca="1" si="7"/>
        <v>65.898626450972159</v>
      </c>
      <c r="G92" s="47">
        <f t="shared" ca="1" si="7"/>
        <v>68.043912612741423</v>
      </c>
      <c r="H92" s="12" t="str">
        <f t="shared" ca="1" si="6"/>
        <v>=-(1-$B$12)*G58</v>
      </c>
    </row>
    <row r="93" spans="1:8" x14ac:dyDescent="0.2">
      <c r="A93" s="9" t="s">
        <v>47</v>
      </c>
      <c r="B93" s="9"/>
      <c r="C93" s="46">
        <f t="shared" si="7"/>
        <v>-3.9714624658384001</v>
      </c>
      <c r="D93" s="9">
        <f t="shared" si="7"/>
        <v>-4.2437392706384012</v>
      </c>
      <c r="E93" s="9">
        <f t="shared" si="7"/>
        <v>-4.5112519538000004</v>
      </c>
      <c r="F93" s="9">
        <f t="shared" si="7"/>
        <v>-4.7446671247999994</v>
      </c>
      <c r="G93" s="47">
        <f t="shared" si="7"/>
        <v>-4.9111608499099972</v>
      </c>
      <c r="H93" s="12" t="str">
        <f t="shared" ca="1" si="6"/>
        <v>=-(1-$B$12)*G59</v>
      </c>
    </row>
    <row r="94" spans="1:8" ht="16" thickBot="1" x14ac:dyDescent="0.25">
      <c r="A94" s="7" t="s">
        <v>48</v>
      </c>
      <c r="B94" s="9"/>
      <c r="C94" s="48">
        <f ca="1">SUM(C87:C93)</f>
        <v>-198.0584995932804</v>
      </c>
      <c r="D94" s="34">
        <f ca="1">SUM(D87:D93)</f>
        <v>-134.0145793422133</v>
      </c>
      <c r="E94" s="34">
        <f ca="1">SUM(E87:E93)</f>
        <v>-21.456220649373847</v>
      </c>
      <c r="F94" s="34">
        <f ca="1">SUM(F87:F93)</f>
        <v>80.786196539789756</v>
      </c>
      <c r="G94" s="49">
        <f ca="1">SUM(G87:G93)</f>
        <v>214.61621832005031</v>
      </c>
      <c r="H94" s="12" t="str">
        <f t="shared" ca="1" si="6"/>
        <v>=SUM(G87:G93)</v>
      </c>
    </row>
    <row r="96" spans="1:8" ht="18" x14ac:dyDescent="0.2">
      <c r="A96" s="10" t="s">
        <v>59</v>
      </c>
    </row>
    <row r="97" spans="1:8" s="6" customFormat="1" ht="13" x14ac:dyDescent="0.15">
      <c r="A97" s="6" t="s">
        <v>49</v>
      </c>
      <c r="B97" s="11">
        <v>0.2</v>
      </c>
    </row>
    <row r="98" spans="1:8" s="6" customFormat="1" ht="13" x14ac:dyDescent="0.15">
      <c r="A98" s="6" t="s">
        <v>50</v>
      </c>
      <c r="B98" s="11">
        <v>0.05</v>
      </c>
      <c r="C98" s="6" t="s">
        <v>51</v>
      </c>
    </row>
    <row r="99" spans="1:8" x14ac:dyDescent="0.2">
      <c r="A99" s="6"/>
    </row>
    <row r="100" spans="1:8" s="4" customFormat="1" ht="14" thickBot="1" x14ac:dyDescent="0.2">
      <c r="A100" s="7" t="s">
        <v>6</v>
      </c>
      <c r="B100" s="8">
        <v>0</v>
      </c>
      <c r="C100" s="8">
        <v>1</v>
      </c>
      <c r="D100" s="8">
        <v>2</v>
      </c>
      <c r="E100" s="8">
        <v>3</v>
      </c>
      <c r="F100" s="8">
        <v>4</v>
      </c>
      <c r="G100" s="8">
        <v>5</v>
      </c>
    </row>
    <row r="101" spans="1:8" x14ac:dyDescent="0.2">
      <c r="A101" t="s">
        <v>52</v>
      </c>
      <c r="C101" s="43">
        <f ca="1">C94</f>
        <v>-198.0584995932804</v>
      </c>
      <c r="D101" s="44">
        <f ca="1">D94</f>
        <v>-134.0145793422133</v>
      </c>
      <c r="E101" s="44">
        <f ca="1">E94</f>
        <v>-21.456220649373847</v>
      </c>
      <c r="F101" s="44">
        <f ca="1">F94</f>
        <v>80.786196539789756</v>
      </c>
      <c r="G101" s="50">
        <f ca="1">G94</f>
        <v>214.61621832005031</v>
      </c>
      <c r="H101" s="12" t="str">
        <f t="shared" ref="H101:H103" ca="1" si="8">_xlfn.FORMULATEXT(G101)</f>
        <v>=G94</v>
      </c>
    </row>
    <row r="102" spans="1:8" x14ac:dyDescent="0.2">
      <c r="A102" t="s">
        <v>53</v>
      </c>
      <c r="C102" s="18"/>
      <c r="G102" s="51">
        <f ca="1">G101*(1+B98)/(B97-B98)</f>
        <v>1502.3135282403521</v>
      </c>
      <c r="H102" s="12" t="str">
        <f t="shared" ca="1" si="8"/>
        <v>=G101*(1+B98)/(B97-B98)</v>
      </c>
    </row>
    <row r="103" spans="1:8" ht="16" thickBot="1" x14ac:dyDescent="0.25">
      <c r="A103" t="s">
        <v>54</v>
      </c>
      <c r="C103" s="48">
        <f ca="1">C102+C101</f>
        <v>-198.0584995932804</v>
      </c>
      <c r="D103" s="34">
        <f ca="1">D102+D101</f>
        <v>-134.0145793422133</v>
      </c>
      <c r="E103" s="34">
        <f ca="1">E102+E101</f>
        <v>-21.456220649373847</v>
      </c>
      <c r="F103" s="34">
        <f ca="1">F102+F101</f>
        <v>80.786196539789756</v>
      </c>
      <c r="G103" s="52">
        <f ca="1">G102+G101</f>
        <v>1716.9297465604025</v>
      </c>
      <c r="H103" s="12" t="str">
        <f t="shared" ca="1" si="8"/>
        <v>=G102+G101</v>
      </c>
    </row>
    <row r="104" spans="1:8" ht="16" thickBot="1" x14ac:dyDescent="0.25"/>
    <row r="105" spans="1:8" x14ac:dyDescent="0.2">
      <c r="A105" t="str">
        <f>"Enterprise value"</f>
        <v>Enterprise value</v>
      </c>
      <c r="B105" s="53">
        <f ca="1">NPV(B97,C103:G103)*(1+B97)^0.5</f>
        <v>502.17803166216896</v>
      </c>
      <c r="C105" s="12" t="str">
        <f t="shared" ref="C105:C112" ca="1" si="9">_xlfn.FORMULATEXT(B105)</f>
        <v>=NPV(B97,C103:G103)*(1+B97)^0.5</v>
      </c>
    </row>
    <row r="106" spans="1:8" x14ac:dyDescent="0.2">
      <c r="A106" t="s">
        <v>55</v>
      </c>
      <c r="B106" s="54">
        <f>B67</f>
        <v>80</v>
      </c>
      <c r="C106" s="12" t="str">
        <f t="shared" ca="1" si="9"/>
        <v>=B67</v>
      </c>
    </row>
    <row r="107" spans="1:8" x14ac:dyDescent="0.2">
      <c r="A107" t="s">
        <v>56</v>
      </c>
      <c r="B107" s="54">
        <f ca="1">B106+B105</f>
        <v>582.17803166216891</v>
      </c>
      <c r="C107" s="12" t="str">
        <f t="shared" ca="1" si="9"/>
        <v>=B106+B105</v>
      </c>
    </row>
    <row r="108" spans="1:8" x14ac:dyDescent="0.2">
      <c r="A108" t="s">
        <v>57</v>
      </c>
      <c r="B108" s="54">
        <f>-B78</f>
        <v>-353.84667581282054</v>
      </c>
      <c r="C108" s="12" t="str">
        <f t="shared" ca="1" si="9"/>
        <v>=-B78</v>
      </c>
    </row>
    <row r="109" spans="1:8" x14ac:dyDescent="0.2">
      <c r="A109" t="s">
        <v>68</v>
      </c>
      <c r="B109" s="54">
        <v>0</v>
      </c>
      <c r="C109" s="12"/>
    </row>
    <row r="110" spans="1:8" x14ac:dyDescent="0.2">
      <c r="A110" t="s">
        <v>58</v>
      </c>
      <c r="B110" s="54">
        <f ca="1">B107+B108</f>
        <v>228.33135584934837</v>
      </c>
      <c r="C110" s="12" t="str">
        <f t="shared" ca="1" si="9"/>
        <v>=B107+B108</v>
      </c>
    </row>
    <row r="111" spans="1:8" x14ac:dyDescent="0.2">
      <c r="A111" t="s">
        <v>60</v>
      </c>
      <c r="B111" s="55">
        <v>100</v>
      </c>
      <c r="C111" s="12"/>
    </row>
    <row r="112" spans="1:8" ht="16" thickBot="1" x14ac:dyDescent="0.25">
      <c r="A112" t="s">
        <v>61</v>
      </c>
      <c r="B112" s="56">
        <f ca="1">B110/B111</f>
        <v>2.2833135584934836</v>
      </c>
      <c r="C112" s="12" t="str">
        <f t="shared" ca="1" si="9"/>
        <v>=B110/B111</v>
      </c>
    </row>
  </sheetData>
  <mergeCells count="1">
    <mergeCell ref="A1:D1"/>
  </mergeCells>
  <printOptions headings="1" gridLine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VBA</vt:lpstr>
      <vt:lpstr>CashPlug</vt:lpstr>
      <vt:lpstr>DebtPlug</vt:lpstr>
      <vt:lpstr>Geo1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 Hon Sing</dc:creator>
  <cp:lastModifiedBy>Balu Babu</cp:lastModifiedBy>
  <dcterms:created xsi:type="dcterms:W3CDTF">2012-01-17T16:20:09Z</dcterms:created>
  <dcterms:modified xsi:type="dcterms:W3CDTF">2024-03-01T11:13:06Z</dcterms:modified>
</cp:coreProperties>
</file>